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진단_체크리스트" sheetId="1" state="visible" r:id="rId3"/>
    <sheet name="질문테스트" sheetId="2" state="visible" r:id="rId4"/>
    <sheet name="가정" sheetId="3" state="visible" r:id="rId5"/>
    <sheet name="수익성_12개월" sheetId="4" state="visible" r:id="rId6"/>
    <sheet name="시나리오_비교" sheetId="5" state="visible" r:id="rId7"/>
    <sheet name="두곳_제안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<sst xmlns="http://schemas.openxmlformats.org/spreadsheetml/2006/main" count="223" uniqueCount="182">
  <si>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노출 진단 — 숯꾸이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가마솥 </t>
    </r>
    <r>
      <rPr>
        <b val="true"/>
        <sz val="14"/>
        <rFont val="Arial"/>
        <family val="0"/>
        <charset val="1"/>
      </rPr>
      <t xml:space="preserve">(2026-10-18)</t>
    </r>
  </si>
  <si>
    <r>
      <rPr>
        <i val="true"/>
        <sz val="10"/>
        <color rgb="FF555555"/>
        <rFont val="WenQuanYi Zen Hei"/>
        <family val="2"/>
      </rPr>
      <t xml:space="preserve">상태</t>
    </r>
    <r>
      <rPr>
        <i val="true"/>
        <sz val="10"/>
        <color rgb="FF555555"/>
        <rFont val="Arial"/>
        <family val="0"/>
        <charset val="1"/>
      </rPr>
      <t xml:space="preserve">: 1=</t>
    </r>
    <r>
      <rPr>
        <i val="true"/>
        <sz val="10"/>
        <color rgb="FF555555"/>
        <rFont val="WenQuanYi Zen Hei"/>
        <family val="2"/>
      </rPr>
      <t xml:space="preserve">충족</t>
    </r>
    <r>
      <rPr>
        <i val="true"/>
        <sz val="10"/>
        <color rgb="FF555555"/>
        <rFont val="Arial"/>
        <family val="0"/>
        <charset val="1"/>
      </rPr>
      <t xml:space="preserve">, 0=</t>
    </r>
    <r>
      <rPr>
        <i val="true"/>
        <sz val="10"/>
        <color rgb="FF555555"/>
        <rFont val="WenQuanYi Zen Hei"/>
        <family val="2"/>
      </rPr>
      <t xml:space="preserve">미충족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WenQuanYi Zen Hei"/>
        <family val="2"/>
      </rPr>
      <t xml:space="preserve">빈칸</t>
    </r>
    <r>
      <rPr>
        <i val="true"/>
        <sz val="10"/>
        <color rgb="FF555555"/>
        <rFont val="Arial"/>
        <family val="0"/>
        <charset val="1"/>
      </rPr>
      <t xml:space="preserve">=</t>
    </r>
    <r>
      <rPr>
        <i val="true"/>
        <sz val="10"/>
        <color rgb="FF555555"/>
        <rFont val="WenQuanYi Zen Hei"/>
        <family val="2"/>
      </rPr>
      <t xml:space="preserve">미확인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WenQuanYi Zen Hei"/>
        <family val="2"/>
      </rPr>
      <t xml:space="preserve">사장님</t>
    </r>
    <r>
      <rPr>
        <i val="true"/>
        <sz val="10"/>
        <color rgb="FF555555"/>
        <rFont val="Arial"/>
        <family val="0"/>
        <charset val="1"/>
      </rPr>
      <t xml:space="preserve">·</t>
    </r>
    <r>
      <rPr>
        <i val="true"/>
        <sz val="10"/>
        <color rgb="FF555555"/>
        <rFont val="WenQuanYi Zen Hei"/>
        <family val="2"/>
      </rPr>
      <t xml:space="preserve">직접 확인 필요</t>
    </r>
    <r>
      <rPr>
        <i val="true"/>
        <sz val="10"/>
        <color rgb="FF555555"/>
        <rFont val="Arial"/>
        <family val="0"/>
        <charset val="1"/>
      </rPr>
      <t xml:space="preserve">). </t>
    </r>
    <r>
      <rPr>
        <i val="true"/>
        <sz val="10"/>
        <color rgb="FF555555"/>
        <rFont val="WenQuanYi Zen Hei"/>
        <family val="2"/>
      </rPr>
      <t xml:space="preserve">점수는 가중치 </t>
    </r>
    <r>
      <rPr>
        <i val="true"/>
        <sz val="10"/>
        <color rgb="FF555555"/>
        <rFont val="Arial"/>
        <family val="0"/>
        <charset val="1"/>
      </rPr>
      <t xml:space="preserve">× </t>
    </r>
    <r>
      <rPr>
        <i val="true"/>
        <sz val="10"/>
        <color rgb="FF555555"/>
        <rFont val="WenQuanYi Zen Hei"/>
        <family val="2"/>
      </rPr>
      <t xml:space="preserve">상태 합계 </t>
    </r>
    <r>
      <rPr>
        <i val="true"/>
        <sz val="10"/>
        <color rgb="FF555555"/>
        <rFont val="Arial"/>
        <family val="0"/>
        <charset val="1"/>
      </rPr>
      <t xml:space="preserve">÷ </t>
    </r>
    <r>
      <rPr>
        <i val="true"/>
        <sz val="10"/>
        <color rgb="FF555555"/>
        <rFont val="WenQuanYi Zen Hei"/>
        <family val="2"/>
      </rPr>
      <t xml:space="preserve">확인된 항목 가중치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</si>
  <si>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#</t>
  </si>
  <si>
    <t xml:space="preserve">항목</t>
  </si>
  <si>
    <r>
      <rPr>
        <b val="true"/>
        <sz val="10"/>
        <color rgb="FFFFFFFF"/>
        <rFont val="WenQuanYi Zen Hei"/>
        <family val="2"/>
      </rPr>
      <t xml:space="preserve">가중치</t>
    </r>
    <r>
      <rPr>
        <b val="true"/>
        <sz val="10"/>
        <color rgb="FFFFFFFF"/>
        <rFont val="Arial"/>
        <family val="0"/>
        <charset val="1"/>
      </rPr>
      <t xml:space="preserve">(1~5)</t>
    </r>
  </si>
  <si>
    <t xml:space="preserve">숯꾸이</t>
  </si>
  <si>
    <t xml:space="preserve">가마솥</t>
  </si>
  <si>
    <r>
      <rPr>
        <b val="true"/>
        <sz val="10"/>
        <color rgb="FFFFFFFF"/>
        <rFont val="WenQuanYi Zen Hei"/>
        <family val="2"/>
      </rPr>
      <t xml:space="preserve">확인 방법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근거</t>
    </r>
  </si>
  <si>
    <t xml:space="preserve">개선 방법</t>
  </si>
  <si>
    <r>
      <rPr>
        <sz val="10"/>
        <rFont val="WenQuanYi Zen Hei"/>
        <family val="2"/>
      </rPr>
      <t xml:space="preserve">메뉴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가격 글자가 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안에 들어 있다 </t>
    </r>
    <r>
      <rPr>
        <sz val="10"/>
        <rFont val="Arial"/>
        <family val="0"/>
        <charset val="1"/>
      </rPr>
      <t xml:space="preserve">(JS </t>
    </r>
    <r>
      <rPr>
        <sz val="10"/>
        <rFont val="WenQuanYi Zen Hei"/>
        <family val="2"/>
      </rPr>
      <t xml:space="preserve">없이 읽힘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</si>
  <si>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저장소 </t>
    </r>
    <r>
      <rPr>
        <sz val="10"/>
        <rFont val="Arial"/>
        <family val="0"/>
        <charset val="1"/>
      </rPr>
      <t xml:space="preserve">index.html </t>
    </r>
    <r>
      <rPr>
        <sz val="10"/>
        <rFont val="WenQuanYi Zen Hei"/>
        <family val="2"/>
      </rPr>
      <t xml:space="preserve">확인</t>
    </r>
    <r>
      <rPr>
        <sz val="10"/>
        <rFont val="Arial"/>
        <family val="0"/>
        <charset val="1"/>
      </rPr>
      <t xml:space="preserve">: &lt;main id="menu"&gt;&lt;/main&gt;</t>
    </r>
    <r>
      <rPr>
        <sz val="10"/>
        <rFont val="WenQuanYi Zen Hei"/>
        <family val="2"/>
      </rPr>
      <t xml:space="preserve">가 비어 있고 </t>
    </r>
    <r>
      <rPr>
        <sz val="10"/>
        <rFont val="Arial"/>
        <family val="0"/>
        <charset val="1"/>
      </rPr>
      <t xml:space="preserve">menu.js</t>
    </r>
    <r>
      <rPr>
        <sz val="10"/>
        <rFont val="WenQuanYi Zen Hei"/>
        <family val="2"/>
      </rPr>
      <t xml:space="preserve">가 브라우저에서 채움</t>
    </r>
    <r>
      <rPr>
        <sz val="10"/>
        <rFont val="Arial"/>
        <family val="0"/>
        <charset val="1"/>
      </rPr>
      <t xml:space="preserve">. AI </t>
    </r>
    <r>
      <rPr>
        <sz val="10"/>
        <rFont val="WenQuanYi Zen Hei"/>
        <family val="2"/>
      </rPr>
      <t xml:space="preserve">크롤러 상당수는 </t>
    </r>
    <r>
      <rPr>
        <sz val="10"/>
        <rFont val="Arial"/>
        <family val="0"/>
        <charset val="1"/>
      </rPr>
      <t xml:space="preserve">JS</t>
    </r>
    <r>
      <rPr>
        <sz val="10"/>
        <rFont val="WenQuanYi Zen Hei"/>
        <family val="2"/>
      </rPr>
      <t xml:space="preserve">를 실행하지 않음</t>
    </r>
  </si>
  <si>
    <r>
      <rPr>
        <sz val="10"/>
        <rFont val="WenQuanYi Zen Hei"/>
        <family val="2"/>
      </rPr>
      <t xml:space="preserve">빌드 때 메뉴를 정적 </t>
    </r>
    <r>
      <rPr>
        <sz val="10"/>
        <rFont val="Arial"/>
        <family val="0"/>
        <charset val="1"/>
      </rPr>
      <t xml:space="preserve">HTML</t>
    </r>
    <r>
      <rPr>
        <sz val="10"/>
        <rFont val="WenQuanYi Zen Hei"/>
        <family val="2"/>
      </rPr>
      <t xml:space="preserve">로 미리 그려 넣기</t>
    </r>
    <r>
      <rPr>
        <sz val="10"/>
        <rFont val="Arial"/>
        <family val="0"/>
        <charset val="1"/>
      </rPr>
      <t xml:space="preserve">(prerender)</t>
    </r>
  </si>
  <si>
    <r>
      <rPr>
        <sz val="10"/>
        <rFont val="Arial"/>
        <family val="0"/>
        <charset val="1"/>
      </rPr>
      <t xml:space="preserve">Restaurant </t>
    </r>
    <r>
      <rPr>
        <sz val="10"/>
        <rFont val="WenQuanYi Zen Hei"/>
        <family val="2"/>
      </rPr>
      <t xml:space="preserve">구조화 데이터</t>
    </r>
    <r>
      <rPr>
        <sz val="10"/>
        <rFont val="Arial"/>
        <family val="0"/>
        <charset val="1"/>
      </rPr>
      <t xml:space="preserve">(JSON-LD) </t>
    </r>
    <r>
      <rPr>
        <sz val="10"/>
        <rFont val="WenQuanYi Zen Hei"/>
        <family val="2"/>
      </rPr>
      <t xml:space="preserve">있음</t>
    </r>
  </si>
  <si>
    <r>
      <rPr>
        <sz val="10"/>
        <rFont val="Arial"/>
        <family val="0"/>
        <charset val="1"/>
      </rPr>
      <t xml:space="preserve">index.html</t>
    </r>
    <r>
      <rPr>
        <sz val="10"/>
        <rFont val="WenQuanYi Zen Hei"/>
        <family val="2"/>
      </rPr>
      <t xml:space="preserve">에 </t>
    </r>
    <r>
      <rPr>
        <sz val="10"/>
        <rFont val="Arial"/>
        <family val="0"/>
        <charset val="1"/>
      </rPr>
      <t xml:space="preserve">application/ld+json </t>
    </r>
    <r>
      <rPr>
        <sz val="10"/>
        <rFont val="WenQuanYi Zen Hei"/>
        <family val="2"/>
      </rPr>
      <t xml:space="preserve">없음</t>
    </r>
  </si>
  <si>
    <r>
      <rPr>
        <sz val="10"/>
        <rFont val="WenQuanYi Zen Hei"/>
        <family val="2"/>
      </rPr>
      <t xml:space="preserve">주소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영업시간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메뉴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가격을 </t>
    </r>
    <r>
      <rPr>
        <sz val="10"/>
        <rFont val="Arial"/>
        <family val="0"/>
        <charset val="1"/>
      </rPr>
      <t xml:space="preserve">schema.org</t>
    </r>
    <r>
      <rPr>
        <sz val="10"/>
        <rFont val="WenQuanYi Zen Hei"/>
        <family val="2"/>
      </rPr>
      <t xml:space="preserve">로 추가</t>
    </r>
  </si>
  <si>
    <r>
      <rPr>
        <sz val="10"/>
        <rFont val="WenQuanYi Zen Hei"/>
        <family val="2"/>
      </rPr>
      <t xml:space="preserve">가게별 고유 도메인 </t>
    </r>
    <r>
      <rPr>
        <sz val="10"/>
        <rFont val="Arial"/>
        <family val="0"/>
        <charset val="1"/>
      </rPr>
      <t xml:space="preserve">(vercel.app </t>
    </r>
    <r>
      <rPr>
        <sz val="10"/>
        <rFont val="WenQuanYi Zen Hei"/>
        <family val="2"/>
      </rPr>
      <t xml:space="preserve">아님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</si>
  <si>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현재 </t>
    </r>
    <r>
      <rPr>
        <sz val="10"/>
        <rFont val="Arial"/>
        <family val="0"/>
        <charset val="1"/>
      </rPr>
      <t xml:space="preserve">*-menu.vercel.app </t>
    </r>
    <r>
      <rPr>
        <sz val="10"/>
        <rFont val="WenQuanYi Zen Hei"/>
        <family val="2"/>
      </rPr>
      <t xml:space="preserve">서브도메인</t>
    </r>
  </si>
  <si>
    <r>
      <rPr>
        <sz val="10"/>
        <rFont val="WenQuanYi Zen Hei"/>
        <family val="2"/>
      </rPr>
      <t xml:space="preserve">가게 이름 도메인 연결</t>
    </r>
    <r>
      <rPr>
        <sz val="10"/>
        <rFont val="Arial"/>
        <family val="0"/>
        <charset val="1"/>
      </rPr>
      <t xml:space="preserve">(.com/.vn)</t>
    </r>
  </si>
  <si>
    <r>
      <rPr>
        <sz val="10"/>
        <rFont val="Arial"/>
        <family val="0"/>
        <charset val="1"/>
      </rPr>
      <t xml:space="preserve">robots.txt · sitemap.xml </t>
    </r>
    <r>
      <rPr>
        <sz val="10"/>
        <rFont val="WenQuanYi Zen Hei"/>
        <family val="2"/>
      </rPr>
      <t xml:space="preserve">있음</t>
    </r>
  </si>
  <si>
    <t xml:space="preserve">두 폴더에 파일 없음</t>
  </si>
  <si>
    <r>
      <rPr>
        <sz val="10"/>
        <rFont val="WenQuanYi Zen Hei"/>
        <family val="2"/>
      </rPr>
      <t xml:space="preserve">추가</t>
    </r>
    <r>
      <rPr>
        <sz val="10"/>
        <rFont val="Arial"/>
        <family val="0"/>
        <charset val="1"/>
      </rPr>
      <t xml:space="preserve">, AI </t>
    </r>
    <r>
      <rPr>
        <sz val="10"/>
        <rFont val="WenQuanYi Zen Hei"/>
        <family val="2"/>
      </rPr>
      <t xml:space="preserve">크롤러</t>
    </r>
    <r>
      <rPr>
        <sz val="10"/>
        <rFont val="Arial"/>
        <family val="0"/>
        <charset val="1"/>
      </rPr>
      <t xml:space="preserve">(GPTBot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허용 명시</t>
    </r>
  </si>
  <si>
    <r>
      <rPr>
        <sz val="10"/>
        <rFont val="WenQuanYi Zen Hei"/>
        <family val="2"/>
      </rPr>
      <t xml:space="preserve">제목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설명이 검색 질문과 맞다</t>
    </r>
  </si>
  <si>
    <r>
      <rPr>
        <sz val="10"/>
        <rFont val="WenQuanYi Zen Hei"/>
        <family val="2"/>
      </rPr>
      <t xml:space="preserve">제목이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숯꾸이 메뉴</t>
    </r>
    <r>
      <rPr>
        <sz val="10"/>
        <rFont val="Arial"/>
        <family val="0"/>
        <charset val="1"/>
      </rPr>
      <t xml:space="preserve">' / '</t>
    </r>
    <r>
      <rPr>
        <sz val="10"/>
        <rFont val="WenQuanYi Zen Hei"/>
        <family val="2"/>
      </rPr>
      <t xml:space="preserve">가마솥 </t>
    </r>
    <r>
      <rPr>
        <sz val="10"/>
        <rFont val="Arial"/>
        <family val="0"/>
        <charset val="1"/>
      </rPr>
      <t xml:space="preserve">GAMASOT </t>
    </r>
    <r>
      <rPr>
        <sz val="10"/>
        <rFont val="WenQuanYi Zen Hei"/>
        <family val="2"/>
      </rPr>
      <t xml:space="preserve">메뉴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처럼 짧고 한국어만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설명은 있음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</si>
  <si>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박닌 한국식 고깃집 숯꾸이 — 삼겹살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소고기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식으로 지역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종류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대표 메뉴</t>
    </r>
  </si>
  <si>
    <r>
      <rPr>
        <sz val="10"/>
        <rFont val="Arial"/>
        <family val="0"/>
        <charset val="1"/>
      </rPr>
      <t xml:space="preserve">OG </t>
    </r>
    <r>
      <rPr>
        <sz val="10"/>
        <rFont val="WenQuanYi Zen Hei"/>
        <family val="2"/>
      </rPr>
      <t xml:space="preserve">태그 </t>
    </r>
    <r>
      <rPr>
        <sz val="10"/>
        <rFont val="Arial"/>
        <family val="0"/>
        <charset val="1"/>
      </rPr>
      <t xml:space="preserve">· canonical · hreflang(</t>
    </r>
    <r>
      <rPr>
        <sz val="10"/>
        <rFont val="WenQuanYi Zen Hei"/>
        <family val="2"/>
      </rPr>
      <t xml:space="preserve">다국어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있음</t>
    </r>
  </si>
  <si>
    <r>
      <rPr>
        <sz val="10"/>
        <rFont val="Arial"/>
        <family val="0"/>
        <charset val="1"/>
      </rPr>
      <t xml:space="preserve">index.html</t>
    </r>
    <r>
      <rPr>
        <sz val="10"/>
        <rFont val="WenQuanYi Zen Hei"/>
        <family val="2"/>
      </rPr>
      <t xml:space="preserve">에 없음</t>
    </r>
    <r>
      <rPr>
        <sz val="10"/>
        <rFont val="Arial"/>
        <family val="0"/>
        <charset val="1"/>
      </rPr>
      <t xml:space="preserve">. 5</t>
    </r>
    <r>
      <rPr>
        <sz val="10"/>
        <rFont val="WenQuanYi Zen Hei"/>
        <family val="2"/>
      </rPr>
      <t xml:space="preserve">개 언어가 한 주소에서 </t>
    </r>
    <r>
      <rPr>
        <sz val="10"/>
        <rFont val="Arial"/>
        <family val="0"/>
        <charset val="1"/>
      </rPr>
      <t xml:space="preserve">JS</t>
    </r>
    <r>
      <rPr>
        <sz val="10"/>
        <rFont val="WenQuanYi Zen Hei"/>
        <family val="2"/>
      </rPr>
      <t xml:space="preserve">로만 바뀜</t>
    </r>
  </si>
  <si>
    <r>
      <rPr>
        <sz val="10"/>
        <rFont val="WenQuanYi Zen Hei"/>
        <family val="2"/>
      </rPr>
      <t xml:space="preserve">언어별 주소</t>
    </r>
    <r>
      <rPr>
        <sz val="10"/>
        <rFont val="Arial"/>
        <family val="0"/>
        <charset val="1"/>
      </rPr>
      <t xml:space="preserve">(/vi,/en…)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hreflang</t>
    </r>
  </si>
  <si>
    <r>
      <rPr>
        <sz val="10"/>
        <rFont val="WenQuanYi Zen Hei"/>
        <family val="2"/>
      </rPr>
      <t xml:space="preserve">메뉴 정보의 풍부함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원산지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사진</t>
    </r>
    <r>
      <rPr>
        <sz val="10"/>
        <rFont val="Arial"/>
        <family val="0"/>
        <charset val="1"/>
      </rPr>
      <t xml:space="preserve">·5</t>
    </r>
    <r>
      <rPr>
        <sz val="10"/>
        <rFont val="WenQuanYi Zen Hei"/>
        <family val="2"/>
      </rPr>
      <t xml:space="preserve">개 언어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</si>
  <si>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menu.js</t>
    </r>
    <r>
      <rPr>
        <sz val="10"/>
        <rFont val="WenQuanYi Zen Hei"/>
        <family val="2"/>
      </rPr>
      <t xml:space="preserve">에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 언어 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설명 있음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가마솥은 사진</t>
    </r>
    <r>
      <rPr>
        <sz val="10"/>
        <rFont val="Arial"/>
        <family val="0"/>
        <charset val="1"/>
      </rPr>
      <t xml:space="preserve">·S/L·</t>
    </r>
    <r>
      <rPr>
        <sz val="10"/>
        <rFont val="WenQuanYi Zen Hei"/>
        <family val="2"/>
      </rPr>
      <t xml:space="preserve">팁까지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</si>
  <si>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정적 </t>
    </r>
    <r>
      <rPr>
        <sz val="10"/>
        <rFont val="Arial"/>
        <family val="0"/>
        <charset val="1"/>
      </rPr>
      <t xml:space="preserve">HTML</t>
    </r>
    <r>
      <rPr>
        <sz val="10"/>
        <rFont val="WenQuanYi Zen Hei"/>
        <family val="2"/>
      </rPr>
      <t xml:space="preserve">로만 노출되면 큰 강점</t>
    </r>
  </si>
  <si>
    <r>
      <rPr>
        <sz val="10"/>
        <rFont val="WenQuanYi Zen Hei"/>
        <family val="2"/>
      </rPr>
      <t xml:space="preserve">주소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와이파이 등 기본 정보 정확</t>
    </r>
  </si>
  <si>
    <r>
      <rPr>
        <sz val="10"/>
        <rFont val="Arial"/>
        <family val="0"/>
        <charset val="1"/>
      </rPr>
      <t xml:space="preserve">menu.js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address·phone </t>
    </r>
    <r>
      <rPr>
        <sz val="10"/>
        <rFont val="WenQuanYi Zen Hei"/>
        <family val="2"/>
      </rPr>
      <t xml:space="preserve">있음</t>
    </r>
  </si>
  <si>
    <r>
      <rPr>
        <sz val="10"/>
        <rFont val="WenQuanYi Zen Hei"/>
        <family val="2"/>
      </rPr>
      <t xml:space="preserve">영업시간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휴무일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주차 추가</t>
    </r>
  </si>
  <si>
    <r>
      <rPr>
        <sz val="10"/>
        <rFont val="WenQuanYi Zen Hei"/>
        <family val="2"/>
      </rPr>
      <t xml:space="preserve">가게 찾기 페이지에 등록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외부 링크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</si>
  <si>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sales/stores/data.js</t>
    </r>
    <r>
      <rPr>
        <sz val="10"/>
        <rFont val="WenQuanYi Zen Hei"/>
        <family val="2"/>
      </rPr>
      <t xml:space="preserve">에 두 곳 등록됨</t>
    </r>
  </si>
  <si>
    <t xml:space="preserve">—</t>
  </si>
  <si>
    <r>
      <rPr>
        <sz val="10"/>
        <rFont val="WenQuanYi Zen Hei"/>
        <family val="2"/>
      </rPr>
      <t xml:space="preserve">구글 지도</t>
    </r>
    <r>
      <rPr>
        <sz val="10"/>
        <rFont val="Arial"/>
        <family val="0"/>
        <charset val="1"/>
      </rPr>
      <t xml:space="preserve">(Business Profile) </t>
    </r>
    <r>
      <rPr>
        <sz val="10"/>
        <rFont val="WenQuanYi Zen Hei"/>
        <family val="2"/>
      </rPr>
      <t xml:space="preserve">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리뷰</t>
    </r>
  </si>
  <si>
    <r>
      <rPr>
        <sz val="10"/>
        <rFont val="WenQuanYi Zen Hei"/>
        <family val="2"/>
      </rPr>
      <t xml:space="preserve">검색 도구로 확인 불가 → 사장님께 구글 지도 링크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리뷰 수 확인</t>
    </r>
  </si>
  <si>
    <r>
      <rPr>
        <sz val="10"/>
        <rFont val="WenQuanYi Zen Hei"/>
        <family val="2"/>
      </rPr>
      <t xml:space="preserve">프로필 정비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메뉴 링크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리뷰 응답</t>
    </r>
  </si>
  <si>
    <r>
      <rPr>
        <sz val="10"/>
        <rFont val="Arial"/>
        <family val="0"/>
        <charset val="1"/>
      </rPr>
      <t xml:space="preserve">Foody · Facebook · </t>
    </r>
    <r>
      <rPr>
        <sz val="10"/>
        <rFont val="WenQuanYi Zen Hei"/>
        <family val="2"/>
      </rPr>
      <t xml:space="preserve">현지 맛집 목록에 등장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</si>
  <si>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숯꾸이 </t>
    </r>
    <r>
      <rPr>
        <sz val="10"/>
        <rFont val="Arial"/>
        <family val="0"/>
        <charset val="1"/>
      </rPr>
      <t xml:space="preserve">190 Nguyễn Cao' </t>
    </r>
    <r>
      <rPr>
        <sz val="10"/>
        <rFont val="WenQuanYi Zen Hei"/>
        <family val="2"/>
      </rPr>
      <t xml:space="preserve">검색 시 </t>
    </r>
    <r>
      <rPr>
        <sz val="10"/>
        <rFont val="Arial"/>
        <family val="0"/>
        <charset val="1"/>
      </rPr>
      <t xml:space="preserve">Foody</t>
    </r>
    <r>
      <rPr>
        <sz val="10"/>
        <rFont val="WenQuanYi Zen Hei"/>
        <family val="2"/>
      </rPr>
      <t xml:space="preserve">의 같은 거리 다른 가게만 나옴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가마솥은 하노이 결과 없음</t>
    </r>
  </si>
  <si>
    <r>
      <rPr>
        <sz val="10"/>
        <rFont val="Arial"/>
        <family val="0"/>
        <charset val="1"/>
      </rPr>
      <t xml:space="preserve">Foody·Facebook </t>
    </r>
    <r>
      <rPr>
        <sz val="10"/>
        <rFont val="WenQuanYi Zen Hei"/>
        <family val="2"/>
      </rPr>
      <t xml:space="preserve">페이지 등록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블로거 방문 유도</t>
    </r>
  </si>
  <si>
    <r>
      <rPr>
        <sz val="10"/>
        <rFont val="WenQuanYi Zen Hei"/>
        <family val="2"/>
      </rPr>
      <t xml:space="preserve">베트남어 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주소 표기가 외부에서 일치 </t>
    </r>
    <r>
      <rPr>
        <sz val="10"/>
        <rFont val="Arial"/>
        <family val="0"/>
        <charset val="1"/>
      </rPr>
      <t xml:space="preserve">(NAP)</t>
    </r>
  </si>
  <si>
    <r>
      <rPr>
        <sz val="10"/>
        <rFont val="WenQuanYi Zen Hei"/>
        <family val="2"/>
      </rPr>
      <t xml:space="preserve">가게마다 지도</t>
    </r>
    <r>
      <rPr>
        <sz val="10"/>
        <rFont val="Arial"/>
        <family val="0"/>
        <charset val="1"/>
      </rPr>
      <t xml:space="preserve">·SNS </t>
    </r>
    <r>
      <rPr>
        <sz val="10"/>
        <rFont val="WenQuanYi Zen Hei"/>
        <family val="2"/>
      </rPr>
      <t xml:space="preserve">표기가 다른지 확인 필요</t>
    </r>
  </si>
  <si>
    <t xml:space="preserve">표기 하나로 통일</t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</si>
  <si>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WenQuanYi Zen Hei"/>
        <family val="2"/>
      </rPr>
      <t xml:space="preserve">노출 준비도 점수 </t>
    </r>
    <r>
      <rPr>
        <b val="true"/>
        <sz val="10"/>
        <rFont val="Arial"/>
        <family val="0"/>
        <charset val="1"/>
      </rPr>
      <t xml:space="preserve">(0~100)</t>
    </r>
  </si>
  <si>
    <r>
      <rPr>
        <sz val="10"/>
        <rFont val="WenQuanYi Zen Hei"/>
        <family val="2"/>
      </rPr>
      <t xml:space="preserve">확인된 항목 수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전체</t>
    </r>
  </si>
  <si>
    <r>
      <rPr>
        <i val="true"/>
        <sz val="10"/>
        <color rgb="FF555555"/>
        <rFont val="WenQuanYi Zen Hei"/>
        <family val="2"/>
      </rPr>
      <t xml:space="preserve">주의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WenQuanYi Zen Hei"/>
        <family val="2"/>
      </rPr>
      <t xml:space="preserve">점수는 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WenQuanYi Zen Hei"/>
        <family val="2"/>
      </rPr>
      <t xml:space="preserve">확인된 항목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WenQuanYi Zen Hei"/>
        <family val="2"/>
      </rPr>
      <t xml:space="preserve">만으로 계산합니다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WenQuanYi Zen Hei"/>
        <family val="2"/>
      </rPr>
      <t xml:space="preserve">빈칸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WenQuanYi Zen Hei"/>
        <family val="2"/>
      </rPr>
      <t xml:space="preserve">미확인</t>
    </r>
    <r>
      <rPr>
        <i val="true"/>
        <sz val="10"/>
        <color rgb="FF555555"/>
        <rFont val="Arial"/>
        <family val="0"/>
        <charset val="1"/>
      </rPr>
      <t xml:space="preserve">) 3~4</t>
    </r>
    <r>
      <rPr>
        <i val="true"/>
        <sz val="10"/>
        <color rgb="FF555555"/>
        <rFont val="WenQuanYi Zen Hei"/>
        <family val="2"/>
      </rPr>
      <t xml:space="preserve">개를 채우면 점수가 달라집니다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</si>
  <si>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AI</t>
    </r>
    <r>
      <rPr>
        <b val="true"/>
        <sz val="14"/>
        <rFont val="WenQuanYi Zen Hei"/>
        <family val="2"/>
      </rPr>
      <t xml:space="preserve">에게 직접 물어보기 — 기록표</t>
    </r>
  </si>
  <si>
    <r>
      <rPr>
        <i val="true"/>
        <sz val="10"/>
        <color rgb="FF555555"/>
        <rFont val="Arial"/>
        <family val="0"/>
        <charset val="1"/>
      </rPr>
      <t xml:space="preserve">ChatGPT·Gemini·Perplexity·</t>
    </r>
    <r>
      <rPr>
        <i val="true"/>
        <sz val="10"/>
        <color rgb="FF555555"/>
        <rFont val="WenQuanYi Zen Hei"/>
        <family val="2"/>
      </rPr>
      <t xml:space="preserve">네이버에서 아래 질문을 같은 문장으로 하고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WenQuanYi Zen Hei"/>
        <family val="2"/>
      </rPr>
      <t xml:space="preserve">가게가 나오면 </t>
    </r>
    <r>
      <rPr>
        <i val="true"/>
        <sz val="10"/>
        <color rgb="FF555555"/>
        <rFont val="Arial"/>
        <family val="0"/>
        <charset val="1"/>
      </rPr>
      <t xml:space="preserve">1 / </t>
    </r>
    <r>
      <rPr>
        <i val="true"/>
        <sz val="10"/>
        <color rgb="FF555555"/>
        <rFont val="WenQuanYi Zen Hei"/>
        <family val="2"/>
      </rPr>
      <t xml:space="preserve">안 나오면 </t>
    </r>
    <r>
      <rPr>
        <i val="true"/>
        <sz val="10"/>
        <color rgb="FF555555"/>
        <rFont val="Arial"/>
        <family val="0"/>
        <charset val="1"/>
      </rPr>
      <t xml:space="preserve">0 </t>
    </r>
    <r>
      <rPr>
        <i val="true"/>
        <sz val="10"/>
        <color rgb="FF555555"/>
        <rFont val="WenQuanYi Zen Hei"/>
        <family val="2"/>
      </rPr>
      <t xml:space="preserve">입력 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WenQuanYi Zen Hei"/>
        <family val="2"/>
      </rPr>
      <t xml:space="preserve">다른 날 한 번 더 반복 권장</t>
    </r>
    <r>
      <rPr>
        <i val="true"/>
        <sz val="10"/>
        <color rgb="FF555555"/>
        <rFont val="Arial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</si>
  <si>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입력 방법</t>
    </r>
    <r>
      <rPr>
        <b val="true"/>
        <sz val="10"/>
        <rFont val="Arial"/>
        <family val="0"/>
        <charset val="1"/>
      </rPr>
      <t xml:space="preserve">:</t>
    </r>
  </si>
  <si>
    <r>
      <rPr>
        <sz val="10"/>
        <rFont val="WenQuanYi Zen Hei"/>
        <family val="2"/>
      </rPr>
      <t xml:space="preserve">노란 칸</t>
    </r>
    <r>
      <rPr>
        <sz val="10"/>
        <rFont val="Arial"/>
        <family val="0"/>
        <charset val="1"/>
      </rPr>
      <t xml:space="preserve">(F~I)</t>
    </r>
    <r>
      <rPr>
        <sz val="10"/>
        <rFont val="WenQuanYi Zen Hei"/>
        <family val="2"/>
      </rPr>
      <t xml:space="preserve">에만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또는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. 3</t>
    </r>
    <r>
      <rPr>
        <sz val="10"/>
        <rFont val="WenQuanYi Zen Hei"/>
        <family val="2"/>
      </rPr>
      <t xml:space="preserve">행 아래 첫 줄은 예시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점수 계산 제외</t>
    </r>
    <r>
      <rPr>
        <sz val="10"/>
        <rFont val="Arial"/>
        <family val="0"/>
        <charset val="1"/>
      </rPr>
      <t xml:space="preserve">).</t>
    </r>
  </si>
  <si>
    <t xml:space="preserve">가게</t>
  </si>
  <si>
    <t xml:space="preserve">언어</t>
  </si>
  <si>
    <t xml:space="preserve">질문</t>
  </si>
  <si>
    <t xml:space="preserve">기대 가게</t>
  </si>
  <si>
    <t xml:space="preserve">ChatGPT</t>
  </si>
  <si>
    <t xml:space="preserve">Gemini</t>
  </si>
  <si>
    <t xml:space="preserve">Perplexity</t>
  </si>
  <si>
    <t xml:space="preserve">네이버</t>
  </si>
  <si>
    <t xml:space="preserve">노출 횟수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</si>
  <si>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)</t>
    </r>
  </si>
  <si>
    <t xml:space="preserve">ko</t>
  </si>
  <si>
    <t xml:space="preserve">박닌에서 한국식 삼겹살 맛집 알려줘</t>
  </si>
  <si>
    <t xml:space="preserve">vi</t>
  </si>
  <si>
    <t xml:space="preserve">Quán thịt nướng Hàn Quốc ngon ở Bắc Ninh</t>
  </si>
  <si>
    <t xml:space="preserve">en</t>
  </si>
  <si>
    <t xml:space="preserve">Best Korean BBQ in Bac Ninh, Vietnam</t>
  </si>
  <si>
    <t xml:space="preserve">박닌 소고기 구이 한국인 사장 식당</t>
  </si>
  <si>
    <t xml:space="preserve">Nhà hàng Hàn Quốc Bắc Ninh gần Nguyễn Cao</t>
  </si>
  <si>
    <t xml:space="preserve">하노이 송다 한식당 갈비찜 맛집</t>
  </si>
  <si>
    <t xml:space="preserve">Nhà hàng Hàn Quốc ở Sông Đà Nam Từ Liêm</t>
  </si>
  <si>
    <t xml:space="preserve">Korean restaurant near My Dinh Hanoi galbi jjim</t>
  </si>
  <si>
    <t xml:space="preserve">하노이 미딩 가족 모임 한식 수육 소꼬리찜</t>
  </si>
  <si>
    <t xml:space="preserve">Quán Hàn Quốc ở Hà Nội ăn sườn bò hầm</t>
  </si>
  <si>
    <r>
      <rPr>
        <b val="true"/>
        <sz val="10"/>
        <rFont val="WenQuanYi Zen Hei"/>
        <family val="2"/>
      </rPr>
      <t xml:space="preserve">노출률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질문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도구 중 가게가 나온 비율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</si>
  <si>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10"/>
        <color rgb="FF555555"/>
        <rFont val="Arial"/>
        <family val="0"/>
        <charset val="1"/>
      </rPr>
      <t xml:space="preserve">0%</t>
    </r>
    <r>
      <rPr>
        <i val="true"/>
        <sz val="10"/>
        <color rgb="FF555555"/>
        <rFont val="WenQuanYi Zen Hei"/>
        <family val="2"/>
      </rPr>
      <t xml:space="preserve">면 진단 완료 후 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WenQuanYi Zen Hei"/>
        <family val="2"/>
      </rPr>
      <t xml:space="preserve">안 나옴</t>
    </r>
    <r>
      <rPr>
        <i val="true"/>
        <sz val="10"/>
        <color rgb="FF555555"/>
        <rFont val="Arial"/>
        <family val="0"/>
        <charset val="1"/>
      </rPr>
      <t xml:space="preserve">' </t>
    </r>
    <r>
      <rPr>
        <i val="true"/>
        <sz val="10"/>
        <color rgb="FF555555"/>
        <rFont val="WenQuanYi Zen Hei"/>
        <family val="2"/>
      </rPr>
      <t xml:space="preserve">증거로 사장님께 보여주기</t>
    </r>
  </si>
  <si>
    <r>
      <rPr>
        <b val="true"/>
        <sz val="14"/>
        <rFont val="WenQuanYi Zen Hei"/>
        <family val="2"/>
      </rPr>
      <t xml:space="preserve">수익성 가정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파란 글씨 </t>
    </r>
    <r>
      <rPr>
        <b val="true"/>
        <sz val="14"/>
        <rFont val="Arial"/>
        <family val="0"/>
        <charset val="1"/>
      </rPr>
      <t xml:space="preserve">= </t>
    </r>
    <r>
      <rPr>
        <b val="true"/>
        <sz val="14"/>
        <rFont val="WenQuanYi Zen Hei"/>
        <family val="2"/>
      </rPr>
      <t xml:space="preserve">입력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바꾸면 모든 시트가 다시 계산됩니다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</si>
  <si>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55555"/>
        <rFont val="WenQuanYi Zen Hei"/>
        <family val="2"/>
      </rPr>
      <t xml:space="preserve">모든 숫자는 제가 둔 가정이며 실제 계약</t>
    </r>
    <r>
      <rPr>
        <i val="true"/>
        <sz val="10"/>
        <color rgb="FF555555"/>
        <rFont val="Arial"/>
        <family val="0"/>
        <charset val="1"/>
      </rPr>
      <t xml:space="preserve">·</t>
    </r>
    <r>
      <rPr>
        <i val="true"/>
        <sz val="10"/>
        <color rgb="FF555555"/>
        <rFont val="WenQuanYi Zen Hei"/>
        <family val="2"/>
      </rPr>
      <t xml:space="preserve">원가로 교체해야 합니다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WenQuanYi Zen Hei"/>
        <family val="2"/>
      </rPr>
      <t xml:space="preserve">통화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WenQuanYi Zen Hei"/>
        <family val="2"/>
      </rPr>
      <t xml:space="preserve">원</t>
    </r>
    <r>
      <rPr>
        <i val="true"/>
        <sz val="10"/>
        <color rgb="FF555555"/>
        <rFont val="Arial"/>
        <family val="0"/>
        <charset val="1"/>
      </rPr>
      <t xml:space="preserve">(KRW).</t>
    </r>
  </si>
  <si>
    <r>
      <rPr>
        <b val="true"/>
        <sz val="10"/>
        <rFont val="WenQuanYi Zen Hei"/>
        <family val="2"/>
      </rPr>
      <t xml:space="preserve">선택한 시나리오 </t>
    </r>
    <r>
      <rPr>
        <b val="true"/>
        <sz val="10"/>
        <rFont val="Arial"/>
        <family val="0"/>
        <charset val="1"/>
      </rPr>
      <t xml:space="preserve">(1=</t>
    </r>
    <r>
      <rPr>
        <b val="true"/>
        <sz val="10"/>
        <rFont val="WenQuanYi Zen Hei"/>
        <family val="2"/>
      </rPr>
      <t xml:space="preserve">보수 </t>
    </r>
    <r>
      <rPr>
        <b val="true"/>
        <sz val="10"/>
        <rFont val="Arial"/>
        <family val="0"/>
        <charset val="1"/>
      </rPr>
      <t xml:space="preserve">2=</t>
    </r>
    <r>
      <rPr>
        <b val="true"/>
        <sz val="10"/>
        <rFont val="WenQuanYi Zen Hei"/>
        <family val="2"/>
      </rPr>
      <t xml:space="preserve">기본 </t>
    </r>
    <r>
      <rPr>
        <b val="true"/>
        <sz val="10"/>
        <rFont val="Arial"/>
        <family val="0"/>
        <charset val="1"/>
      </rPr>
      <t xml:space="preserve">3=</t>
    </r>
    <r>
      <rPr>
        <b val="true"/>
        <sz val="10"/>
        <rFont val="WenQuanYi Zen Hei"/>
        <family val="2"/>
      </rPr>
      <t xml:space="preserve">낙관</t>
    </r>
    <r>
      <rPr>
        <b val="true"/>
        <sz val="10"/>
        <rFont val="Arial"/>
        <family val="0"/>
        <charset val="1"/>
      </rPr>
      <t xml:space="preserve">)</t>
    </r>
  </si>
  <si>
    <t xml:space="preserve">보수</t>
  </si>
  <si>
    <t xml:space="preserve">기본</t>
  </si>
  <si>
    <t xml:space="preserve">낙관</t>
  </si>
  <si>
    <t xml:space="preserve">선택값</t>
  </si>
  <si>
    <r>
      <rPr>
        <b val="true"/>
        <sz val="10"/>
        <color rgb="FFFFFFFF"/>
        <rFont val="WenQuanYi Zen Hei"/>
        <family val="2"/>
      </rPr>
      <t xml:space="preserve">설명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근거</t>
    </r>
  </si>
  <si>
    <r>
      <rPr>
        <sz val="10"/>
        <rFont val="WenQuanYi Zen Hei"/>
        <family val="2"/>
      </rPr>
      <t xml:space="preserve">월 신규 고객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</si>
  <si>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평균치 가정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단계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시범에서 실제 전환율로 교체</t>
    </r>
  </si>
  <si>
    <t xml:space="preserve">월 이탈률</t>
  </si>
  <si>
    <t xml:space="preserve">작은 가게 월 해지율 가정</t>
  </si>
  <si>
    <r>
      <rPr>
        <sz val="10"/>
        <rFont val="WenQuanYi Zen Hei"/>
        <family val="2"/>
      </rPr>
      <t xml:space="preserve">월 단가 </t>
    </r>
    <r>
      <rPr>
        <sz val="10"/>
        <rFont val="Arial"/>
        <family val="0"/>
        <charset val="1"/>
      </rPr>
      <t xml:space="preserve">ARPU 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</si>
  <si>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기본</t>
    </r>
    <r>
      <rPr>
        <sz val="10"/>
        <rFont val="Arial"/>
        <family val="0"/>
        <charset val="1"/>
      </rPr>
      <t xml:space="preserve">)/70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표준</t>
    </r>
    <r>
      <rPr>
        <sz val="10"/>
        <rFont val="Arial"/>
        <family val="0"/>
        <charset val="1"/>
      </rPr>
      <t xml:space="preserve">)/150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프리미엄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혼합 가정</t>
    </r>
  </si>
  <si>
    <r>
      <rPr>
        <sz val="10"/>
        <rFont val="WenQuanYi Zen Hei"/>
        <family val="2"/>
      </rPr>
      <t xml:space="preserve">시범 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</si>
  <si>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초기 고객에게 할인 적용 기간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모든 고객에 일괄 적용 단순화</t>
    </r>
    <r>
      <rPr>
        <sz val="10"/>
        <rFont val="Arial"/>
        <family val="0"/>
        <charset val="1"/>
      </rPr>
      <t xml:space="preserve">)</t>
    </r>
  </si>
  <si>
    <t xml:space="preserve">시범 할인율</t>
  </si>
  <si>
    <r>
      <rPr>
        <sz val="10"/>
        <rFont val="WenQuanYi Zen Hei"/>
        <family val="2"/>
      </rPr>
      <t xml:space="preserve">시범 기간 중 </t>
    </r>
    <r>
      <rPr>
        <sz val="10"/>
        <rFont val="Arial"/>
        <family val="0"/>
        <charset val="1"/>
      </rPr>
      <t xml:space="preserve">ARPU </t>
    </r>
    <r>
      <rPr>
        <sz val="10"/>
        <rFont val="WenQuanYi Zen Hei"/>
        <family val="2"/>
      </rPr>
      <t xml:space="preserve">할인</t>
    </r>
  </si>
  <si>
    <r>
      <rPr>
        <sz val="10"/>
        <rFont val="WenQuanYi Zen Hei"/>
        <family val="2"/>
      </rPr>
      <t xml:space="preserve">고객당 월 변동비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</si>
  <si>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외주 제작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콘텐츠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측정 도구 사용분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고객당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</si>
  <si>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 고정비 — 도구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구독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</si>
  <si>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모니터링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도메인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서버 등</t>
    </r>
  </si>
  <si>
    <r>
      <rPr>
        <sz val="10"/>
        <rFont val="WenQuanYi Zen Hei"/>
        <family val="2"/>
      </rPr>
      <t xml:space="preserve">월 영업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마케팅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</si>
  <si>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소개서 인쇄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방문 교통비 등</t>
    </r>
  </si>
  <si>
    <t xml:space="preserve">인력 채용 시작 월</t>
  </si>
  <si>
    <r>
      <rPr>
        <sz val="10"/>
        <rFont val="WenQuanYi Zen Hei"/>
        <family val="2"/>
      </rPr>
      <t xml:space="preserve">그 달부터 인건비 발생 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~12</t>
    </r>
    <r>
      <rPr>
        <sz val="10"/>
        <rFont val="WenQuanYi Zen Hei"/>
        <family val="2"/>
      </rPr>
      <t xml:space="preserve">월 중 선택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</si>
  <si>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 인건비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</si>
  <si>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베트남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한국 인력 혼합 가정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실제 채용 조건으로 교체</t>
    </r>
  </si>
  <si>
    <r>
      <rPr>
        <sz val="10"/>
        <rFont val="WenQuanYi Zen Hei"/>
        <family val="2"/>
      </rPr>
      <t xml:space="preserve">초기 투자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</si>
  <si>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진단 도구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소개서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시범 제작 비용</t>
    </r>
    <r>
      <rPr>
        <sz val="10"/>
        <rFont val="Arial"/>
        <family val="0"/>
        <charset val="1"/>
      </rPr>
      <t xml:space="preserve">, 0</t>
    </r>
    <r>
      <rPr>
        <sz val="10"/>
        <rFont val="WenQuanYi Zen Hei"/>
        <family val="2"/>
      </rPr>
      <t xml:space="preserve">개월 시점에 지출</t>
    </r>
  </si>
  <si>
    <r>
      <rPr>
        <sz val="10"/>
        <rFont val="WenQuanYi Zen Hei"/>
        <family val="2"/>
      </rPr>
      <t xml:space="preserve">환율 </t>
    </r>
    <r>
      <rPr>
        <sz val="10"/>
        <rFont val="Arial"/>
        <family val="0"/>
        <charset val="1"/>
      </rPr>
      <t xml:space="preserve">(VND / 1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</si>
  <si>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대략값 가정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실제 환율로 교체</t>
    </r>
  </si>
  <si>
    <r>
      <rPr>
        <b val="true"/>
        <sz val="14"/>
        <rFont val="Arial"/>
        <family val="0"/>
        <charset val="1"/>
      </rPr>
      <t xml:space="preserve">12</t>
    </r>
    <r>
      <rPr>
        <b val="true"/>
        <sz val="14"/>
        <rFont val="WenQuanYi Zen Hei"/>
        <family val="2"/>
      </rPr>
      <t xml:space="preserve">개월 수익성 시뮬레이션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선택한 시나리오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</si>
  <si>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55555"/>
        <rFont val="WenQuanYi Zen Hei"/>
        <family val="2"/>
      </rPr>
      <t xml:space="preserve">고객 수는 소수점 허용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WenQuanYi Zen Hei"/>
        <family val="2"/>
      </rPr>
      <t xml:space="preserve">기대값</t>
    </r>
    <r>
      <rPr>
        <i val="true"/>
        <sz val="10"/>
        <color rgb="FF555555"/>
        <rFont val="Arial"/>
        <family val="0"/>
        <charset val="1"/>
      </rPr>
      <t xml:space="preserve">). </t>
    </r>
    <r>
      <rPr>
        <i val="true"/>
        <sz val="10"/>
        <color rgb="FF555555"/>
        <rFont val="WenQuanYi Zen Hei"/>
        <family val="2"/>
      </rPr>
      <t xml:space="preserve">이익 </t>
    </r>
    <r>
      <rPr>
        <i val="true"/>
        <sz val="10"/>
        <color rgb="FF555555"/>
        <rFont val="Arial"/>
        <family val="0"/>
        <charset val="1"/>
      </rPr>
      <t xml:space="preserve">= </t>
    </r>
    <r>
      <rPr>
        <i val="true"/>
        <sz val="10"/>
        <color rgb="FF555555"/>
        <rFont val="WenQuanYi Zen Hei"/>
        <family val="2"/>
      </rPr>
      <t xml:space="preserve">매출 − 변동비 − 고정비 − 영업 − 인건비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</si>
  <si>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현재 시나리오</t>
    </r>
    <r>
      <rPr>
        <b val="true"/>
        <sz val="10"/>
        <rFont val="Arial"/>
        <family val="0"/>
        <charset val="1"/>
      </rPr>
      <t xml:space="preserve">: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</si>
  <si>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</si>
  <si>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</si>
  <si>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</si>
  <si>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</si>
  <si>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</si>
  <si>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</si>
  <si>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</si>
  <si>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</si>
  <si>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</si>
  <si>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</si>
  <si>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개월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</si>
  <si>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개월</t>
    </r>
  </si>
  <si>
    <t xml:space="preserve">월</t>
  </si>
  <si>
    <t xml:space="preserve">시작 고객</t>
  </si>
  <si>
    <t xml:space="preserve">신규</t>
  </si>
  <si>
    <t xml:space="preserve">이탈</t>
  </si>
  <si>
    <t xml:space="preserve">종료 고객</t>
  </si>
  <si>
    <r>
      <rPr>
        <sz val="10"/>
        <rFont val="WenQuanYi Zen Hei"/>
        <family val="2"/>
      </rPr>
      <t xml:space="preserve">적용 </t>
    </r>
    <r>
      <rPr>
        <sz val="10"/>
        <rFont val="Arial"/>
        <family val="0"/>
        <charset val="1"/>
      </rPr>
      <t xml:space="preserve">ARPU 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</si>
  <si>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t xml:space="preserve">매출</t>
  </si>
  <si>
    <t xml:space="preserve">변동비</t>
  </si>
  <si>
    <r>
      <rPr>
        <sz val="10"/>
        <rFont val="WenQuanYi Zen Hei"/>
        <family val="2"/>
      </rPr>
      <t xml:space="preserve">고정비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</si>
  <si>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영업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마케팅</t>
    </r>
  </si>
  <si>
    <t xml:space="preserve">인건비</t>
  </si>
  <si>
    <t xml:space="preserve">총비용</t>
  </si>
  <si>
    <t xml:space="preserve">월 이익</t>
  </si>
  <si>
    <r>
      <rPr>
        <b val="true"/>
        <sz val="10"/>
        <rFont val="WenQuanYi Zen Hei"/>
        <family val="2"/>
      </rPr>
      <t xml:space="preserve">누적 이익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초기투자 포함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</si>
  <si>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개월 합계 매출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</si>
  <si>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개월 합계 이익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</si>
  <si>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개월째 월 매출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월 이익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</si>
  <si>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개월째 월 이익률</t>
    </r>
  </si>
  <si>
    <r>
      <rPr>
        <b val="true"/>
        <sz val="10"/>
        <rFont val="WenQuanYi Zen Hei"/>
        <family val="2"/>
      </rPr>
      <t xml:space="preserve">누적 손익분기 월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투자 회수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</si>
  <si>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개 시나리오 한눈에 보기 </t>
    </r>
    <r>
      <rPr>
        <b val="true"/>
        <sz val="14"/>
        <rFont val="Arial"/>
        <family val="0"/>
        <charset val="1"/>
      </rPr>
      <t xml:space="preserve">(12</t>
    </r>
    <r>
      <rPr>
        <b val="true"/>
        <sz val="14"/>
        <rFont val="WenQuanYi Zen Hei"/>
        <family val="2"/>
      </rPr>
      <t xml:space="preserve">개월째 단순 계산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</si>
  <si>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55555"/>
        <rFont val="WenQuanYi Zen Hei"/>
        <family val="2"/>
      </rPr>
      <t xml:space="preserve">선택 시나리오와 무관하게 가정 시트의 </t>
    </r>
    <r>
      <rPr>
        <i val="true"/>
        <sz val="10"/>
        <color rgb="FF555555"/>
        <rFont val="Arial"/>
        <family val="0"/>
        <charset val="1"/>
      </rPr>
      <t xml:space="preserve">3</t>
    </r>
    <r>
      <rPr>
        <i val="true"/>
        <sz val="10"/>
        <color rgb="FF555555"/>
        <rFont val="WenQuanYi Zen Hei"/>
        <family val="2"/>
      </rPr>
      <t xml:space="preserve">열을 각각 사용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WenQuanYi Zen Hei"/>
        <family val="2"/>
      </rPr>
      <t xml:space="preserve">간이 계산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WenQuanYi Zen Hei"/>
        <family val="2"/>
      </rPr>
      <t xml:space="preserve">월 매출 </t>
    </r>
    <r>
      <rPr>
        <i val="true"/>
        <sz val="10"/>
        <color rgb="FF555555"/>
        <rFont val="Arial"/>
        <family val="0"/>
        <charset val="1"/>
      </rPr>
      <t xml:space="preserve">= 12</t>
    </r>
    <r>
      <rPr>
        <i val="true"/>
        <sz val="10"/>
        <color rgb="FF555555"/>
        <rFont val="WenQuanYi Zen Hei"/>
        <family val="2"/>
      </rPr>
      <t xml:space="preserve">개월째 고객 </t>
    </r>
    <r>
      <rPr>
        <i val="true"/>
        <sz val="10"/>
        <color rgb="FF555555"/>
        <rFont val="Arial"/>
        <family val="0"/>
        <charset val="1"/>
      </rPr>
      <t xml:space="preserve">× ARPU.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</si>
  <si>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개월째 고객 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근사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</si>
  <si>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개월째 월 매출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</si>
  <si>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개월째 월 총비용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</si>
  <si>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개월째 월 이익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</si>
  <si>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개월째 월 이익률</t>
    </r>
  </si>
  <si>
    <r>
      <rPr>
        <i val="true"/>
        <sz val="10"/>
        <color rgb="FF555555"/>
        <rFont val="WenQuanYi Zen Hei"/>
        <family val="2"/>
      </rPr>
      <t xml:space="preserve">주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WenQuanYi Zen Hei"/>
        <family val="2"/>
      </rPr>
      <t xml:space="preserve">월 신규</t>
    </r>
    <r>
      <rPr>
        <i val="true"/>
        <sz val="10"/>
        <color rgb="FF555555"/>
        <rFont val="Arial"/>
        <family val="0"/>
        <charset val="1"/>
      </rPr>
      <t xml:space="preserve">·</t>
    </r>
    <r>
      <rPr>
        <i val="true"/>
        <sz val="10"/>
        <color rgb="FF555555"/>
        <rFont val="WenQuanYi Zen Hei"/>
        <family val="2"/>
      </rPr>
      <t xml:space="preserve">이탈률이 일정하다는 가정의 폐쇄식 근사라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WenQuanYi Zen Hei"/>
        <family val="2"/>
      </rPr>
      <t xml:space="preserve">수익성</t>
    </r>
    <r>
      <rPr>
        <i val="true"/>
        <sz val="10"/>
        <color rgb="FF555555"/>
        <rFont val="Arial"/>
        <family val="0"/>
        <charset val="1"/>
      </rPr>
      <t xml:space="preserve">_12</t>
    </r>
    <r>
      <rPr>
        <i val="true"/>
        <sz val="10"/>
        <color rgb="FF555555"/>
        <rFont val="WenQuanYi Zen Hei"/>
        <family val="2"/>
      </rPr>
      <t xml:space="preserve">개월 시트와 값이 약간 다를 수 있습니다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WenQuanYi Zen Hei"/>
        <family val="2"/>
      </rPr>
      <t xml:space="preserve">시범 할인 미반영</t>
    </r>
    <r>
      <rPr>
        <i val="true"/>
        <sz val="10"/>
        <color rgb="FF555555"/>
        <rFont val="Arial"/>
        <family val="0"/>
        <charset val="1"/>
      </rPr>
      <t xml:space="preserve">).</t>
    </r>
  </si>
  <si>
    <r>
      <rPr>
        <b val="true"/>
        <sz val="14"/>
        <rFont val="WenQuanYi Zen Hei"/>
        <family val="2"/>
      </rPr>
      <t xml:space="preserve">숯꾸이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가마솥 시범 제안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가게 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곳당 단가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마진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</si>
  <si>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55555"/>
        <rFont val="WenQuanYi Zen Hei"/>
        <family val="2"/>
      </rPr>
      <t xml:space="preserve">시범 </t>
    </r>
    <r>
      <rPr>
        <i val="true"/>
        <sz val="10"/>
        <color rgb="FF555555"/>
        <rFont val="Arial"/>
        <family val="0"/>
        <charset val="1"/>
      </rPr>
      <t xml:space="preserve">3</t>
    </r>
    <r>
      <rPr>
        <i val="true"/>
        <sz val="10"/>
        <color rgb="FF555555"/>
        <rFont val="WenQuanYi Zen Hei"/>
        <family val="2"/>
      </rPr>
      <t xml:space="preserve">개월 가격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WenQuanYi Zen Hei"/>
        <family val="2"/>
      </rPr>
      <t xml:space="preserve">시간</t>
    </r>
    <r>
      <rPr>
        <i val="true"/>
        <sz val="10"/>
        <color rgb="FF555555"/>
        <rFont val="Arial"/>
        <family val="0"/>
        <charset val="1"/>
      </rPr>
      <t xml:space="preserve">·</t>
    </r>
    <r>
      <rPr>
        <i val="true"/>
        <sz val="10"/>
        <color rgb="FF555555"/>
        <rFont val="WenQuanYi Zen Hei"/>
        <family val="2"/>
      </rPr>
      <t xml:space="preserve">단가는 가정이며 파란 칸을 바꾸세요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</si>
  <si>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숯꾸이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박닌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</si>
  <si>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가마솥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하노이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</si>
  <si>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설명</t>
  </si>
  <si>
    <t xml:space="preserve">패키지</t>
  </si>
  <si>
    <t xml:space="preserve">표준</t>
  </si>
  <si>
    <t xml:space="preserve">입력</t>
  </si>
  <si>
    <r>
      <rPr>
        <sz val="10"/>
        <rFont val="WenQuanYi Zen Hei"/>
        <family val="2"/>
      </rPr>
      <t xml:space="preserve">월 가격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정가</t>
    </r>
  </si>
  <si>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/70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/150</t>
    </r>
    <r>
      <rPr>
        <sz val="10"/>
        <rFont val="WenQuanYi Zen Hei"/>
        <family val="2"/>
      </rPr>
      <t xml:space="preserve">만 중 표준</t>
    </r>
  </si>
  <si>
    <t xml:space="preserve">가정 시트와 연동</t>
  </si>
  <si>
    <r>
      <rPr>
        <sz val="10"/>
        <rFont val="WenQuanYi Zen Hei"/>
        <family val="2"/>
      </rPr>
      <t xml:space="preserve">시범 월 가격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</si>
  <si>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시범 월 가격 </t>
    </r>
    <r>
      <rPr>
        <sz val="10"/>
        <rFont val="Arial"/>
        <family val="0"/>
        <charset val="1"/>
      </rPr>
      <t xml:space="preserve">(VND)</t>
    </r>
  </si>
  <si>
    <t xml:space="preserve">환율 가정 적용</t>
  </si>
  <si>
    <r>
      <rPr>
        <sz val="10"/>
        <rFont val="WenQuanYi Zen Hei"/>
        <family val="2"/>
      </rPr>
      <t xml:space="preserve">월 작업 시간 </t>
    </r>
    <r>
      <rPr>
        <sz val="10"/>
        <rFont val="Arial"/>
        <family val="0"/>
        <charset val="1"/>
      </rPr>
      <t xml:space="preserve">(h)</t>
    </r>
  </si>
  <si>
    <r>
      <rPr>
        <sz val="10"/>
        <rFont val="WenQuanYi Zen Hei"/>
        <family val="2"/>
      </rPr>
      <t xml:space="preserve">정적 페이지 정비 후엔 측정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보고 위주</t>
    </r>
  </si>
  <si>
    <r>
      <rPr>
        <sz val="10"/>
        <rFont val="WenQuanYi Zen Hei"/>
        <family val="2"/>
      </rPr>
      <t xml:space="preserve">시간당 원가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</si>
  <si>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t xml:space="preserve">내부 인건비 가정</t>
  </si>
  <si>
    <r>
      <rPr>
        <sz val="10"/>
        <rFont val="WenQuanYi Zen Hei"/>
        <family val="2"/>
      </rPr>
      <t xml:space="preserve">월 직접 원가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</si>
  <si>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작업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고객당 변동비</t>
    </r>
  </si>
  <si>
    <r>
      <rPr>
        <sz val="10"/>
        <rFont val="WenQuanYi Zen Hei"/>
        <family val="2"/>
      </rPr>
      <t xml:space="preserve">월 마진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시범가</t>
    </r>
  </si>
  <si>
    <r>
      <rPr>
        <sz val="10"/>
        <rFont val="WenQuanYi Zen Hei"/>
        <family val="2"/>
      </rPr>
      <t xml:space="preserve">월 마진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정가</t>
    </r>
  </si>
  <si>
    <t xml:space="preserve">시범 종료 후</t>
  </si>
  <si>
    <t xml:space="preserve">정가 마진율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</si>
  <si>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회성 초기 정비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제안</t>
    </r>
  </si>
  <si>
    <r>
      <rPr>
        <sz val="10"/>
        <rFont val="WenQuanYi Zen Hei"/>
        <family val="2"/>
      </rPr>
      <t xml:space="preserve">정적 </t>
    </r>
    <r>
      <rPr>
        <sz val="10"/>
        <rFont val="Arial"/>
        <family val="0"/>
        <charset val="1"/>
      </rPr>
      <t xml:space="preserve">HTML·JSON-LD·</t>
    </r>
    <r>
      <rPr>
        <sz val="10"/>
        <rFont val="WenQuanYi Zen Hei"/>
        <family val="2"/>
      </rPr>
      <t xml:space="preserve">도메인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지도 정비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가정값</t>
    </r>
  </si>
  <si>
    <t xml:space="preserve">제안 순서</t>
  </si>
  <si>
    <r>
      <rPr>
        <sz val="10"/>
        <rFont val="Arial"/>
        <family val="0"/>
        <charset val="1"/>
      </rPr>
      <t xml:space="preserve">1) </t>
    </r>
    <r>
      <rPr>
        <sz val="10"/>
        <rFont val="WenQuanYi Zen Hei"/>
        <family val="2"/>
      </rPr>
      <t xml:space="preserve">두 가게 지도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리뷰</t>
    </r>
    <r>
      <rPr>
        <sz val="10"/>
        <rFont val="Arial"/>
        <family val="0"/>
        <charset val="1"/>
      </rPr>
      <t xml:space="preserve">·Foody </t>
    </r>
    <r>
      <rPr>
        <sz val="10"/>
        <rFont val="WenQuanYi Zen Hei"/>
        <family val="2"/>
      </rPr>
      <t xml:space="preserve">링크 받기 → 진단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체크리스트 빈칸 채우기</t>
    </r>
  </si>
  <si>
    <r>
      <rPr>
        <sz val="10"/>
        <rFont val="Arial"/>
        <family val="0"/>
        <charset val="1"/>
      </rPr>
      <t xml:space="preserve">2) </t>
    </r>
    <r>
      <rPr>
        <sz val="10"/>
        <rFont val="WenQuanYi Zen Hei"/>
        <family val="2"/>
      </rPr>
      <t xml:space="preserve">질문테스트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개를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개 도구에서 직접 실행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현재 노출률 기록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</si>
  <si>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3) </t>
    </r>
    <r>
      <rPr>
        <sz val="10"/>
        <rFont val="WenQuanYi Zen Hei"/>
        <family val="2"/>
      </rPr>
      <t xml:space="preserve">메뉴 정적 </t>
    </r>
    <r>
      <rPr>
        <sz val="10"/>
        <rFont val="Arial"/>
        <family val="0"/>
        <charset val="1"/>
      </rPr>
      <t xml:space="preserve">HTML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+ JSON-LD + sitemap/robots </t>
    </r>
    <r>
      <rPr>
        <sz val="10"/>
        <rFont val="WenQuanYi Zen Hei"/>
        <family val="2"/>
      </rPr>
      <t xml:space="preserve">적용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기술 작업 약 </t>
    </r>
    <r>
      <rPr>
        <sz val="10"/>
        <rFont val="Arial"/>
        <family val="0"/>
        <charset val="1"/>
      </rPr>
      <t xml:space="preserve">1~2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가게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</si>
  <si>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4) 4</t>
    </r>
    <r>
      <rPr>
        <sz val="10"/>
        <rFont val="WenQuanYi Zen Hei"/>
        <family val="2"/>
      </rPr>
      <t xml:space="preserve">주 뒤 같은 질문 재실행 → 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후 비교 보고서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</si>
</sst>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0.0"/>
    <numFmt numFmtId="168" formatCode="0.0%"/>
    <numFmt numFmtId="169" formatCode="#,##0"/>
    <numFmt numFmtId="170" formatCode="#,##0;\(#,##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i val="true"/>
      <sz val="10"/>
      <color rgb="FF555555"/>
      <name val="WenQuanYi Zen Hei"/>
      <family val="2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2F3B52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DD5"/>
      </left>
      <right style="thin">
        <color rgb="FFC8CDD5"/>
      </right>
      <top style="thin">
        <color rgb="FFC8CDD5"/>
      </top>
      <bottom style="thin">
        <color rgb="FFC8CD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5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 매출 · 월 이익 · 누적 이익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수익성_12개월!A12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수익성_12개월!$B$6:$M$6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수익성_12개월!$B$12:$M$12</c:f>
              <c:numCache>
                <c:formatCode>#,##0</c:formatCode>
                <c:ptCount val="12"/>
                <c:pt idx="0">
                  <c:v>812500</c:v>
                </c:pt>
                <c:pt idx="1">
                  <c:v>1576250</c:v>
                </c:pt>
                <c:pt idx="2">
                  <c:v>2294175</c:v>
                </c:pt>
                <c:pt idx="3">
                  <c:v>5938049</c:v>
                </c:pt>
                <c:pt idx="4">
                  <c:v>7206766.06</c:v>
                </c:pt>
                <c:pt idx="5">
                  <c:v>8399360.0964</c:v>
                </c:pt>
                <c:pt idx="6">
                  <c:v>9520398.490616</c:v>
                </c:pt>
                <c:pt idx="7">
                  <c:v>10574174.581179</c:v>
                </c:pt>
                <c:pt idx="8">
                  <c:v>11564724.1063083</c:v>
                </c:pt>
                <c:pt idx="9">
                  <c:v>12495840.6599298</c:v>
                </c:pt>
                <c:pt idx="10">
                  <c:v>13371090.220334</c:v>
                </c:pt>
                <c:pt idx="11">
                  <c:v>14193824.807114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수익성_12개월!A18</c:f>
              <c:strCache>
                <c:ptCount val="1"/>
                <c:pt idx="0">
                  <c:v>월 이익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수익성_12개월!$B$6:$M$6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수익성_12개월!$B$18:$M$18</c:f>
              <c:numCache>
                <c:formatCode>#,##0;\(#,##0\);\-</c:formatCode>
                <c:ptCount val="12"/>
                <c:pt idx="0">
                  <c:v>62500</c:v>
                </c:pt>
                <c:pt idx="1">
                  <c:v>591250</c:v>
                </c:pt>
                <c:pt idx="2">
                  <c:v>1088275</c:v>
                </c:pt>
                <c:pt idx="3">
                  <c:v>4524503</c:v>
                </c:pt>
                <c:pt idx="4">
                  <c:v>5598032.82</c:v>
                </c:pt>
                <c:pt idx="5">
                  <c:v>6607150.8508</c:v>
                </c:pt>
                <c:pt idx="6">
                  <c:v>4755721.799752</c:v>
                </c:pt>
                <c:pt idx="7">
                  <c:v>5647378.49176688</c:v>
                </c:pt>
                <c:pt idx="8">
                  <c:v>6485535.78226087</c:v>
                </c:pt>
                <c:pt idx="9">
                  <c:v>7273403.63532522</c:v>
                </c:pt>
                <c:pt idx="10">
                  <c:v>8013999.41720571</c:v>
                </c:pt>
                <c:pt idx="11">
                  <c:v>8710159.45217336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수익성_12개월!A19</c:f>
              <c:strCache>
                <c:ptCount val="1"/>
                <c:pt idx="0">
                  <c:v>누적 이익 (초기투자 포함)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수익성_12개월!$B$6:$M$6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수익성_12개월!$B$19:$M$19</c:f>
              <c:numCache>
                <c:formatCode>#,##0;\(#,##0\);\-</c:formatCode>
                <c:ptCount val="12"/>
                <c:pt idx="0">
                  <c:v>-1937500</c:v>
                </c:pt>
                <c:pt idx="1">
                  <c:v>-1346250</c:v>
                </c:pt>
                <c:pt idx="2">
                  <c:v>-257975</c:v>
                </c:pt>
                <c:pt idx="3">
                  <c:v>4266528</c:v>
                </c:pt>
                <c:pt idx="4">
                  <c:v>9864560.82</c:v>
                </c:pt>
                <c:pt idx="5">
                  <c:v>16471711.6708</c:v>
                </c:pt>
                <c:pt idx="6">
                  <c:v>21227433.470552</c:v>
                </c:pt>
                <c:pt idx="7">
                  <c:v>26874811.9623189</c:v>
                </c:pt>
                <c:pt idx="8">
                  <c:v>33360347.7445798</c:v>
                </c:pt>
                <c:pt idx="9">
                  <c:v>40633751.379905</c:v>
                </c:pt>
                <c:pt idx="10">
                  <c:v>48647750.7971107</c:v>
                </c:pt>
                <c:pt idx="11">
                  <c:v>57357910.249284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135632"/>
        <c:axId val="13823979"/>
      </c:lineChart>
      <c:catAx>
        <c:axId val="3613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23979"/>
        <c:crosses val="autoZero"/>
        <c:auto val="1"/>
        <c:lblAlgn val="ctr"/>
        <c:lblOffset val="100"/>
        <c:noMultiLvlLbl val="0"/>
      </c:catAx>
      <c:valAx>
        <c:axId val="13823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356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134640</xdr:rowOff>
    </xdr:from>
    <xdr:to>
      <xdr:col>7</xdr:col>
      <xdr:colOff>448200</xdr:colOff>
      <xdr:row>40</xdr:row>
      <xdr:rowOff>156600</xdr:rowOff>
    </xdr:to>
    <xdr:graphicFrame>
      <xdr:nvGraphicFramePr>
        <xdr:cNvPr id="0" name="Chart 1"/>
        <xdr:cNvGraphicFramePr/>
      </xdr:nvGraphicFramePr>
      <xdr:xfrm>
        <a:off x="0" y="49528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6" min="6" style="0" width="58"/>
    <col collapsed="false" customWidth="true" hidden="false" outlineLevel="0" max="7" min="7" style="0" width="4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3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6.85" hidden="false" customHeight="false" outlineLevel="0" collapsed="false">
      <c r="A5" s="5" t="n">
        <v>1</v>
      </c>
      <c r="B5" s="6" t="s">
        <v>9</v>
      </c>
      <c r="C5" s="7" t="n">
        <v>5</v>
      </c>
      <c r="D5" s="7" t="n">
        <v>0</v>
      </c>
      <c r="E5" s="7" t="n">
        <v>0</v>
      </c>
      <c r="F5" s="6" t="s">
        <v>10</v>
      </c>
      <c r="G5" s="6" t="s">
        <v>11</v>
      </c>
    </row>
    <row r="6" customFormat="false" ht="15" hidden="false" customHeight="false" outlineLevel="0" collapsed="false">
      <c r="A6" s="5" t="n">
        <v>2</v>
      </c>
      <c r="B6" s="8" t="s">
        <v>12</v>
      </c>
      <c r="C6" s="7" t="n">
        <v>5</v>
      </c>
      <c r="D6" s="7" t="n">
        <v>0</v>
      </c>
      <c r="E6" s="7" t="n">
        <v>0</v>
      </c>
      <c r="F6" s="8" t="s">
        <v>13</v>
      </c>
      <c r="G6" s="6" t="s">
        <v>14</v>
      </c>
    </row>
    <row r="7" customFormat="false" ht="15" hidden="false" customHeight="false" outlineLevel="0" collapsed="false">
      <c r="A7" s="5" t="n">
        <v>3</v>
      </c>
      <c r="B7" s="6" t="s">
        <v>15</v>
      </c>
      <c r="C7" s="7" t="n">
        <v>3</v>
      </c>
      <c r="D7" s="7" t="n">
        <v>0</v>
      </c>
      <c r="E7" s="7" t="n">
        <v>0</v>
      </c>
      <c r="F7" s="6" t="s">
        <v>16</v>
      </c>
      <c r="G7" s="6" t="s">
        <v>17</v>
      </c>
    </row>
    <row r="8" customFormat="false" ht="15" hidden="false" customHeight="false" outlineLevel="0" collapsed="false">
      <c r="A8" s="5" t="n">
        <v>4</v>
      </c>
      <c r="B8" s="8" t="s">
        <v>18</v>
      </c>
      <c r="C8" s="7" t="n">
        <v>3</v>
      </c>
      <c r="D8" s="7" t="n">
        <v>0</v>
      </c>
      <c r="E8" s="7" t="n">
        <v>0</v>
      </c>
      <c r="F8" s="6" t="s">
        <v>19</v>
      </c>
      <c r="G8" s="6" t="s">
        <v>20</v>
      </c>
    </row>
    <row r="9" customFormat="false" ht="26.85" hidden="false" customHeight="false" outlineLevel="0" collapsed="false">
      <c r="A9" s="5" t="n">
        <v>5</v>
      </c>
      <c r="B9" s="6" t="s">
        <v>21</v>
      </c>
      <c r="C9" s="7" t="n">
        <v>3</v>
      </c>
      <c r="D9" s="7" t="n">
        <v>0</v>
      </c>
      <c r="E9" s="7" t="n">
        <v>0</v>
      </c>
      <c r="F9" s="6" t="s">
        <v>22</v>
      </c>
      <c r="G9" s="8" t="s">
        <v>23</v>
      </c>
    </row>
    <row r="10" customFormat="false" ht="15" hidden="false" customHeight="false" outlineLevel="0" collapsed="false">
      <c r="A10" s="5" t="n">
        <v>6</v>
      </c>
      <c r="B10" s="8" t="s">
        <v>24</v>
      </c>
      <c r="C10" s="7" t="n">
        <v>2</v>
      </c>
      <c r="D10" s="7" t="n">
        <v>0</v>
      </c>
      <c r="E10" s="7" t="n">
        <v>0</v>
      </c>
      <c r="F10" s="8" t="s">
        <v>25</v>
      </c>
      <c r="G10" s="6" t="s">
        <v>26</v>
      </c>
    </row>
    <row r="11" customFormat="false" ht="15" hidden="false" customHeight="false" outlineLevel="0" collapsed="false">
      <c r="A11" s="5" t="n">
        <v>7</v>
      </c>
      <c r="B11" s="6" t="s">
        <v>27</v>
      </c>
      <c r="C11" s="7" t="n">
        <v>3</v>
      </c>
      <c r="D11" s="7" t="n">
        <v>1</v>
      </c>
      <c r="E11" s="7" t="n">
        <v>1</v>
      </c>
      <c r="F11" s="8" t="s">
        <v>28</v>
      </c>
      <c r="G11" s="6" t="s">
        <v>29</v>
      </c>
    </row>
    <row r="12" customFormat="false" ht="15" hidden="false" customHeight="false" outlineLevel="0" collapsed="false">
      <c r="A12" s="5" t="n">
        <v>8</v>
      </c>
      <c r="B12" s="6" t="s">
        <v>30</v>
      </c>
      <c r="C12" s="7" t="n">
        <v>2</v>
      </c>
      <c r="D12" s="7" t="n">
        <v>1</v>
      </c>
      <c r="E12" s="7" t="n">
        <v>1</v>
      </c>
      <c r="F12" s="8" t="s">
        <v>31</v>
      </c>
      <c r="G12" s="6" t="s">
        <v>32</v>
      </c>
    </row>
    <row r="13" customFormat="false" ht="15" hidden="false" customHeight="false" outlineLevel="0" collapsed="false">
      <c r="A13" s="5" t="n">
        <v>9</v>
      </c>
      <c r="B13" s="6" t="s">
        <v>33</v>
      </c>
      <c r="C13" s="7" t="n">
        <v>1</v>
      </c>
      <c r="D13" s="7" t="n">
        <v>1</v>
      </c>
      <c r="E13" s="7" t="n">
        <v>1</v>
      </c>
      <c r="F13" s="8" t="s">
        <v>34</v>
      </c>
      <c r="G13" s="8" t="s">
        <v>35</v>
      </c>
    </row>
    <row r="14" customFormat="false" ht="15" hidden="false" customHeight="false" outlineLevel="0" collapsed="false">
      <c r="A14" s="5" t="n">
        <v>10</v>
      </c>
      <c r="B14" s="6" t="s">
        <v>36</v>
      </c>
      <c r="C14" s="7" t="n">
        <v>5</v>
      </c>
      <c r="D14" s="7"/>
      <c r="E14" s="7"/>
      <c r="F14" s="6" t="s">
        <v>37</v>
      </c>
      <c r="G14" s="6" t="s">
        <v>38</v>
      </c>
    </row>
    <row r="15" customFormat="false" ht="26.85" hidden="false" customHeight="false" outlineLevel="0" collapsed="false">
      <c r="A15" s="5" t="n">
        <v>11</v>
      </c>
      <c r="B15" s="8" t="s">
        <v>39</v>
      </c>
      <c r="C15" s="7" t="n">
        <v>4</v>
      </c>
      <c r="D15" s="7"/>
      <c r="E15" s="7"/>
      <c r="F15" s="8" t="s">
        <v>40</v>
      </c>
      <c r="G15" s="8" t="s">
        <v>41</v>
      </c>
    </row>
    <row r="16" customFormat="false" ht="15" hidden="false" customHeight="false" outlineLevel="0" collapsed="false">
      <c r="A16" s="5" t="n">
        <v>12</v>
      </c>
      <c r="B16" s="6" t="s">
        <v>42</v>
      </c>
      <c r="C16" s="7" t="n">
        <v>3</v>
      </c>
      <c r="D16" s="7"/>
      <c r="E16" s="7"/>
      <c r="F16" s="6" t="s">
        <v>43</v>
      </c>
      <c r="G16" s="6" t="s">
        <v>44</v>
      </c>
    </row>
    <row r="18" customFormat="false" ht="15" hidden="false" customHeight="false" outlineLevel="0" collapsed="false">
      <c r="B18" s="9" t="s">
        <v>45</v>
      </c>
      <c r="D18" s="10" t="n">
        <f aca="false">IFERROR(SUMPRODUCT($C$5:$C$16,D5:D16)/SUMPRODUCT($C$5:$C$16,--ISNUMBER(D5:D16))*100,0)</f>
        <v>22.2222222222222</v>
      </c>
      <c r="E18" s="10" t="n">
        <f aca="false">IFERROR(SUMPRODUCT($C$5:$C$16,E5:E16)/SUMPRODUCT($C$5:$C$16,--ISNUMBER(E5:E16))*100,0)</f>
        <v>22.2222222222222</v>
      </c>
    </row>
    <row r="19" customFormat="false" ht="15" hidden="false" customHeight="false" outlineLevel="0" collapsed="false">
      <c r="B19" s="11" t="s">
        <v>46</v>
      </c>
      <c r="D19" s="5" t="str">
        <f aca="false">COUNT(D5:D16)&amp;" / "&amp;ROWS(D5:D16)</f>
        <v>9 / 12</v>
      </c>
      <c r="E19" s="5" t="str">
        <f aca="false">COUNT(E5:E16)&amp;" / "&amp;ROWS(E5:E16)</f>
        <v>9 / 12</v>
      </c>
    </row>
    <row r="20" customFormat="false" ht="26.85" hidden="false" customHeight="false" outlineLevel="0" collapsed="false">
      <c r="B20" s="1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10" min="9" style="0" width="10"/>
  </cols>
  <sheetData>
    <row r="1" customFormat="false" ht="19.4" hidden="false" customHeight="false" outlineLevel="0" collapsed="false">
      <c r="A1" s="1" t="s">
        <v>48</v>
      </c>
    </row>
    <row r="2" customFormat="false" ht="15" hidden="false" customHeight="false" outlineLevel="0" collapsed="false">
      <c r="A2" s="13" t="s">
        <v>49</v>
      </c>
    </row>
    <row r="3" customFormat="false" ht="15" hidden="false" customHeight="false" outlineLevel="0" collapsed="false">
      <c r="A3" s="14" t="s">
        <v>50</v>
      </c>
      <c r="B3" s="11" t="s">
        <v>51</v>
      </c>
    </row>
    <row r="5" customFormat="false" ht="15" hidden="false" customHeight="false" outlineLevel="0" collapsed="false">
      <c r="A5" s="4" t="s">
        <v>52</v>
      </c>
      <c r="B5" s="4" t="s">
        <v>53</v>
      </c>
      <c r="C5" s="4" t="s">
        <v>54</v>
      </c>
      <c r="D5" s="4" t="s">
        <v>55</v>
      </c>
      <c r="E5" s="3"/>
      <c r="F5" s="3" t="s">
        <v>56</v>
      </c>
      <c r="G5" s="3" t="s">
        <v>57</v>
      </c>
      <c r="H5" s="3" t="s">
        <v>58</v>
      </c>
      <c r="I5" s="4" t="s">
        <v>59</v>
      </c>
      <c r="J5" s="4" t="s">
        <v>60</v>
      </c>
    </row>
    <row r="6" customFormat="false" ht="15" hidden="false" customHeight="false" outlineLevel="0" collapsed="false">
      <c r="A6" s="5" t="s">
        <v>61</v>
      </c>
      <c r="B6" s="5" t="s">
        <v>62</v>
      </c>
      <c r="C6" s="6" t="s">
        <v>63</v>
      </c>
      <c r="D6" s="11" t="s">
        <v>5</v>
      </c>
      <c r="F6" s="7" t="n">
        <v>1</v>
      </c>
      <c r="G6" s="7" t="n">
        <v>0</v>
      </c>
      <c r="H6" s="7" t="n">
        <v>0</v>
      </c>
      <c r="I6" s="7" t="n">
        <v>0</v>
      </c>
      <c r="J6" s="5" t="n">
        <f aca="false">SUM(F6:I6)</f>
        <v>1</v>
      </c>
    </row>
    <row r="7" customFormat="false" ht="15" hidden="false" customHeight="false" outlineLevel="0" collapsed="false">
      <c r="A7" s="11" t="s">
        <v>5</v>
      </c>
      <c r="B7" s="5" t="s">
        <v>62</v>
      </c>
      <c r="C7" s="6" t="s">
        <v>63</v>
      </c>
      <c r="D7" s="11" t="s">
        <v>5</v>
      </c>
      <c r="F7" s="15"/>
      <c r="G7" s="15"/>
      <c r="H7" s="15"/>
      <c r="I7" s="15"/>
      <c r="J7" s="5" t="n">
        <f aca="false">SUM(F7:I7)</f>
        <v>0</v>
      </c>
    </row>
    <row r="8" customFormat="false" ht="15" hidden="false" customHeight="false" outlineLevel="0" collapsed="false">
      <c r="A8" s="11" t="s">
        <v>5</v>
      </c>
      <c r="B8" s="5" t="s">
        <v>64</v>
      </c>
      <c r="C8" s="8" t="s">
        <v>65</v>
      </c>
      <c r="D8" s="11" t="s">
        <v>5</v>
      </c>
      <c r="F8" s="15"/>
      <c r="G8" s="15"/>
      <c r="H8" s="15"/>
      <c r="I8" s="15"/>
      <c r="J8" s="5" t="n">
        <f aca="false">SUM(F8:I8)</f>
        <v>0</v>
      </c>
    </row>
    <row r="9" customFormat="false" ht="15" hidden="false" customHeight="false" outlineLevel="0" collapsed="false">
      <c r="A9" s="11" t="s">
        <v>5</v>
      </c>
      <c r="B9" s="5" t="s">
        <v>66</v>
      </c>
      <c r="C9" s="8" t="s">
        <v>67</v>
      </c>
      <c r="D9" s="11" t="s">
        <v>5</v>
      </c>
      <c r="F9" s="15"/>
      <c r="G9" s="15"/>
      <c r="H9" s="15"/>
      <c r="I9" s="15"/>
      <c r="J9" s="5" t="n">
        <f aca="false">SUM(F9:I9)</f>
        <v>0</v>
      </c>
    </row>
    <row r="10" customFormat="false" ht="15" hidden="false" customHeight="false" outlineLevel="0" collapsed="false">
      <c r="A10" s="11" t="s">
        <v>5</v>
      </c>
      <c r="B10" s="5" t="s">
        <v>62</v>
      </c>
      <c r="C10" s="6" t="s">
        <v>68</v>
      </c>
      <c r="D10" s="11" t="s">
        <v>5</v>
      </c>
      <c r="F10" s="15"/>
      <c r="G10" s="15"/>
      <c r="H10" s="15"/>
      <c r="I10" s="15"/>
      <c r="J10" s="5" t="n">
        <f aca="false">SUM(F10:I10)</f>
        <v>0</v>
      </c>
    </row>
    <row r="11" customFormat="false" ht="15" hidden="false" customHeight="false" outlineLevel="0" collapsed="false">
      <c r="A11" s="11" t="s">
        <v>5</v>
      </c>
      <c r="B11" s="5" t="s">
        <v>64</v>
      </c>
      <c r="C11" s="8" t="s">
        <v>69</v>
      </c>
      <c r="D11" s="11" t="s">
        <v>5</v>
      </c>
      <c r="F11" s="15"/>
      <c r="G11" s="15"/>
      <c r="H11" s="15"/>
      <c r="I11" s="15"/>
      <c r="J11" s="5" t="n">
        <f aca="false">SUM(F11:I11)</f>
        <v>0</v>
      </c>
    </row>
    <row r="12" customFormat="false" ht="15" hidden="false" customHeight="false" outlineLevel="0" collapsed="false">
      <c r="A12" s="11" t="s">
        <v>6</v>
      </c>
      <c r="B12" s="5" t="s">
        <v>62</v>
      </c>
      <c r="C12" s="6" t="s">
        <v>70</v>
      </c>
      <c r="D12" s="11" t="s">
        <v>6</v>
      </c>
      <c r="F12" s="15"/>
      <c r="G12" s="15"/>
      <c r="H12" s="15"/>
      <c r="I12" s="15"/>
      <c r="J12" s="5" t="n">
        <f aca="false">SUM(F12:I12)</f>
        <v>0</v>
      </c>
    </row>
    <row r="13" customFormat="false" ht="15" hidden="false" customHeight="false" outlineLevel="0" collapsed="false">
      <c r="A13" s="11" t="s">
        <v>6</v>
      </c>
      <c r="B13" s="5" t="s">
        <v>64</v>
      </c>
      <c r="C13" s="8" t="s">
        <v>71</v>
      </c>
      <c r="D13" s="11" t="s">
        <v>6</v>
      </c>
      <c r="F13" s="15"/>
      <c r="G13" s="15"/>
      <c r="H13" s="15"/>
      <c r="I13" s="15"/>
      <c r="J13" s="5" t="n">
        <f aca="false">SUM(F13:I13)</f>
        <v>0</v>
      </c>
    </row>
    <row r="14" customFormat="false" ht="15" hidden="false" customHeight="false" outlineLevel="0" collapsed="false">
      <c r="A14" s="11" t="s">
        <v>6</v>
      </c>
      <c r="B14" s="5" t="s">
        <v>66</v>
      </c>
      <c r="C14" s="8" t="s">
        <v>72</v>
      </c>
      <c r="D14" s="11" t="s">
        <v>6</v>
      </c>
      <c r="F14" s="15"/>
      <c r="G14" s="15"/>
      <c r="H14" s="15"/>
      <c r="I14" s="15"/>
      <c r="J14" s="5" t="n">
        <f aca="false">SUM(F14:I14)</f>
        <v>0</v>
      </c>
    </row>
    <row r="15" customFormat="false" ht="15" hidden="false" customHeight="false" outlineLevel="0" collapsed="false">
      <c r="A15" s="11" t="s">
        <v>6</v>
      </c>
      <c r="B15" s="5" t="s">
        <v>62</v>
      </c>
      <c r="C15" s="6" t="s">
        <v>73</v>
      </c>
      <c r="D15" s="11" t="s">
        <v>6</v>
      </c>
      <c r="F15" s="15"/>
      <c r="G15" s="15"/>
      <c r="H15" s="15"/>
      <c r="I15" s="15"/>
      <c r="J15" s="5" t="n">
        <f aca="false">SUM(F15:I15)</f>
        <v>0</v>
      </c>
    </row>
    <row r="16" customFormat="false" ht="15" hidden="false" customHeight="false" outlineLevel="0" collapsed="false">
      <c r="A16" s="11" t="s">
        <v>6</v>
      </c>
      <c r="B16" s="5" t="s">
        <v>64</v>
      </c>
      <c r="C16" s="8" t="s">
        <v>74</v>
      </c>
      <c r="D16" s="11" t="s">
        <v>6</v>
      </c>
      <c r="F16" s="15"/>
      <c r="G16" s="15"/>
      <c r="H16" s="15"/>
      <c r="I16" s="15"/>
      <c r="J16" s="5" t="n">
        <f aca="false">SUM(F16:I16)</f>
        <v>0</v>
      </c>
    </row>
    <row r="18" customFormat="false" ht="15" hidden="false" customHeight="false" outlineLevel="0" collapsed="false">
      <c r="A18" s="14" t="s">
        <v>75</v>
      </c>
    </row>
    <row r="19" customFormat="false" ht="15" hidden="false" customHeight="false" outlineLevel="0" collapsed="false">
      <c r="A19" s="11" t="s">
        <v>5</v>
      </c>
      <c r="C19" s="16" t="n">
        <f aca="false">IFERROR(SUMIFS($J$7:$J$16,$A$7:$A$16,A19)/(COUNTIFS($A$7:$A$16,A19)*4),0)</f>
        <v>0</v>
      </c>
      <c r="D19" s="17" t="s">
        <v>76</v>
      </c>
    </row>
    <row r="20" customFormat="false" ht="15" hidden="false" customHeight="false" outlineLevel="0" collapsed="false">
      <c r="A20" s="11" t="s">
        <v>6</v>
      </c>
      <c r="C20" s="16" t="n">
        <f aca="false">IFERROR(SUMIFS($J$7:$J$16,$A$7:$A$16,A20)/(COUNTIFS($A$7:$A$16,A20)*4),0)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6" min="6" style="0" width="66"/>
  </cols>
  <sheetData>
    <row r="1" customFormat="false" ht="19.4" hidden="false" customHeight="false" outlineLevel="0" collapsed="false">
      <c r="A1" s="18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14" t="s">
        <v>79</v>
      </c>
      <c r="B4" s="15" t="n">
        <v>2</v>
      </c>
    </row>
    <row r="6" customFormat="false" ht="15" hidden="false" customHeight="false" outlineLevel="0" collapsed="false">
      <c r="A6" s="4" t="s">
        <v>3</v>
      </c>
      <c r="B6" s="4" t="s">
        <v>80</v>
      </c>
      <c r="C6" s="4" t="s">
        <v>81</v>
      </c>
      <c r="D6" s="4" t="s">
        <v>82</v>
      </c>
      <c r="E6" s="4" t="s">
        <v>83</v>
      </c>
      <c r="F6" s="4" t="s">
        <v>84</v>
      </c>
    </row>
    <row r="7" customFormat="false" ht="15" hidden="false" customHeight="false" outlineLevel="0" collapsed="false">
      <c r="A7" s="11" t="s">
        <v>85</v>
      </c>
      <c r="B7" s="19" t="n">
        <v>1</v>
      </c>
      <c r="C7" s="19" t="n">
        <v>2.5</v>
      </c>
      <c r="D7" s="19" t="n">
        <v>4</v>
      </c>
      <c r="E7" s="20" t="n">
        <f aca="false">INDEX(B7:D7,1,$B$4)</f>
        <v>2.5</v>
      </c>
      <c r="F7" s="6" t="s">
        <v>86</v>
      </c>
    </row>
    <row r="8" customFormat="false" ht="15" hidden="false" customHeight="false" outlineLevel="0" collapsed="false">
      <c r="A8" s="11" t="s">
        <v>87</v>
      </c>
      <c r="B8" s="21" t="n">
        <v>0.1</v>
      </c>
      <c r="C8" s="21" t="n">
        <v>0.06</v>
      </c>
      <c r="D8" s="21" t="n">
        <v>0.04</v>
      </c>
      <c r="E8" s="22" t="n">
        <f aca="false">INDEX(B8:D8,1,$B$4)</f>
        <v>0.06</v>
      </c>
      <c r="F8" s="6" t="s">
        <v>88</v>
      </c>
    </row>
    <row r="9" customFormat="false" ht="15" hidden="false" customHeight="false" outlineLevel="0" collapsed="false">
      <c r="A9" s="11" t="s">
        <v>89</v>
      </c>
      <c r="B9" s="23" t="n">
        <v>450000</v>
      </c>
      <c r="C9" s="23" t="n">
        <v>650000</v>
      </c>
      <c r="D9" s="23" t="n">
        <v>800000</v>
      </c>
      <c r="E9" s="24" t="n">
        <f aca="false">INDEX(B9:D9,1,$B$4)</f>
        <v>650000</v>
      </c>
      <c r="F9" s="8" t="s">
        <v>90</v>
      </c>
    </row>
    <row r="10" customFormat="false" ht="15" hidden="false" customHeight="false" outlineLevel="0" collapsed="false">
      <c r="A10" s="11" t="s">
        <v>91</v>
      </c>
      <c r="B10" s="25" t="n">
        <v>3</v>
      </c>
      <c r="C10" s="25" t="n">
        <v>3</v>
      </c>
      <c r="D10" s="25" t="n">
        <v>3</v>
      </c>
      <c r="E10" s="26" t="n">
        <f aca="false">INDEX(B10:D10,1,$B$4)</f>
        <v>3</v>
      </c>
      <c r="F10" s="6" t="s">
        <v>92</v>
      </c>
    </row>
    <row r="11" customFormat="false" ht="15" hidden="false" customHeight="false" outlineLevel="0" collapsed="false">
      <c r="A11" s="11" t="s">
        <v>93</v>
      </c>
      <c r="B11" s="27" t="n">
        <v>0.5</v>
      </c>
      <c r="C11" s="27" t="n">
        <v>0.5</v>
      </c>
      <c r="D11" s="27" t="n">
        <v>0.5</v>
      </c>
      <c r="E11" s="16" t="n">
        <f aca="false">INDEX(B11:D11,1,$B$4)</f>
        <v>0.5</v>
      </c>
      <c r="F11" s="6" t="s">
        <v>94</v>
      </c>
    </row>
    <row r="12" customFormat="false" ht="15" hidden="false" customHeight="false" outlineLevel="0" collapsed="false">
      <c r="A12" s="11" t="s">
        <v>95</v>
      </c>
      <c r="B12" s="23" t="n">
        <v>120000</v>
      </c>
      <c r="C12" s="23" t="n">
        <v>100000</v>
      </c>
      <c r="D12" s="23" t="n">
        <v>90000</v>
      </c>
      <c r="E12" s="24" t="n">
        <f aca="false">INDEX(B12:D12,1,$B$4)</f>
        <v>100000</v>
      </c>
      <c r="F12" s="6" t="s">
        <v>96</v>
      </c>
    </row>
    <row r="13" customFormat="false" ht="15" hidden="false" customHeight="false" outlineLevel="0" collapsed="false">
      <c r="A13" s="11" t="s">
        <v>97</v>
      </c>
      <c r="B13" s="23" t="n">
        <v>300000</v>
      </c>
      <c r="C13" s="23" t="n">
        <v>300000</v>
      </c>
      <c r="D13" s="23" t="n">
        <v>300000</v>
      </c>
      <c r="E13" s="24" t="n">
        <f aca="false">INDEX(B13:D13,1,$B$4)</f>
        <v>300000</v>
      </c>
      <c r="F13" s="8" t="s">
        <v>98</v>
      </c>
    </row>
    <row r="14" customFormat="false" ht="15" hidden="false" customHeight="false" outlineLevel="0" collapsed="false">
      <c r="A14" s="11" t="s">
        <v>99</v>
      </c>
      <c r="B14" s="23" t="n">
        <v>300000</v>
      </c>
      <c r="C14" s="23" t="n">
        <v>200000</v>
      </c>
      <c r="D14" s="23" t="n">
        <v>200000</v>
      </c>
      <c r="E14" s="24" t="n">
        <f aca="false">INDEX(B14:D14,1,$B$4)</f>
        <v>200000</v>
      </c>
      <c r="F14" s="6" t="s">
        <v>100</v>
      </c>
    </row>
    <row r="15" customFormat="false" ht="15" hidden="false" customHeight="false" outlineLevel="0" collapsed="false">
      <c r="A15" s="11" t="s">
        <v>101</v>
      </c>
      <c r="B15" s="25" t="n">
        <v>9</v>
      </c>
      <c r="C15" s="25" t="n">
        <v>7</v>
      </c>
      <c r="D15" s="25" t="n">
        <v>5</v>
      </c>
      <c r="E15" s="26" t="n">
        <f aca="false">INDEX(B15:D15,1,$B$4)</f>
        <v>7</v>
      </c>
      <c r="F15" s="6" t="s">
        <v>102</v>
      </c>
    </row>
    <row r="16" customFormat="false" ht="15" hidden="false" customHeight="false" outlineLevel="0" collapsed="false">
      <c r="A16" s="11" t="s">
        <v>103</v>
      </c>
      <c r="B16" s="23" t="n">
        <v>2500000</v>
      </c>
      <c r="C16" s="23" t="n">
        <v>2800000</v>
      </c>
      <c r="D16" s="23" t="n">
        <v>3000000</v>
      </c>
      <c r="E16" s="24" t="n">
        <f aca="false">INDEX(B16:D16,1,$B$4)</f>
        <v>2800000</v>
      </c>
      <c r="F16" s="6" t="s">
        <v>104</v>
      </c>
    </row>
    <row r="17" customFormat="false" ht="15" hidden="false" customHeight="false" outlineLevel="0" collapsed="false">
      <c r="A17" s="11" t="s">
        <v>105</v>
      </c>
      <c r="B17" s="23" t="n">
        <v>2000000</v>
      </c>
      <c r="C17" s="23" t="n">
        <v>2000000</v>
      </c>
      <c r="D17" s="23" t="n">
        <v>2000000</v>
      </c>
      <c r="E17" s="24" t="n">
        <f aca="false">INDEX(B17:D17,1,$B$4)</f>
        <v>2000000</v>
      </c>
      <c r="F17" s="6" t="s">
        <v>106</v>
      </c>
    </row>
    <row r="18" customFormat="false" ht="15" hidden="false" customHeight="false" outlineLevel="0" collapsed="false">
      <c r="A18" s="11" t="s">
        <v>107</v>
      </c>
      <c r="B18" s="19" t="n">
        <v>18.5</v>
      </c>
      <c r="C18" s="19" t="n">
        <v>18.5</v>
      </c>
      <c r="D18" s="19" t="n">
        <v>18.5</v>
      </c>
      <c r="E18" s="20" t="n">
        <f aca="false">INDEX(B18:D18,1,$B$4)</f>
        <v>18.5</v>
      </c>
      <c r="F18" s="6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2"/>
  </cols>
  <sheetData>
    <row r="1" customFormat="false" ht="19.4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3" customFormat="false" ht="15" hidden="false" customHeight="false" outlineLevel="0" collapsed="false">
      <c r="A3" s="14" t="s">
        <v>111</v>
      </c>
      <c r="B3" s="9" t="str">
        <f aca="false">CHOOSE(가정!$B$4,"보수","기본","낙관")</f>
        <v>기본</v>
      </c>
    </row>
    <row r="5" customFormat="false" ht="15" hidden="false" customHeight="false" outlineLevel="0" collapsed="false">
      <c r="A5" s="4" t="s">
        <v>3</v>
      </c>
      <c r="B5" s="28" t="s">
        <v>112</v>
      </c>
      <c r="C5" s="28" t="s">
        <v>113</v>
      </c>
      <c r="D5" s="28" t="s">
        <v>114</v>
      </c>
      <c r="E5" s="28" t="s">
        <v>115</v>
      </c>
      <c r="F5" s="28" t="s">
        <v>116</v>
      </c>
      <c r="G5" s="28" t="s">
        <v>117</v>
      </c>
      <c r="H5" s="28" t="s">
        <v>118</v>
      </c>
      <c r="I5" s="28" t="s">
        <v>119</v>
      </c>
      <c r="J5" s="28" t="s">
        <v>120</v>
      </c>
      <c r="K5" s="28" t="s">
        <v>121</v>
      </c>
      <c r="L5" s="28" t="s">
        <v>122</v>
      </c>
      <c r="M5" s="28" t="s">
        <v>123</v>
      </c>
      <c r="N5" s="3"/>
    </row>
    <row r="6" customFormat="false" ht="15" hidden="false" customHeight="false" outlineLevel="0" collapsed="false">
      <c r="A6" s="14" t="s">
        <v>124</v>
      </c>
      <c r="B6" s="9" t="n">
        <v>1</v>
      </c>
      <c r="C6" s="9" t="n">
        <v>2</v>
      </c>
      <c r="D6" s="9" t="n">
        <v>3</v>
      </c>
      <c r="E6" s="9" t="n">
        <v>4</v>
      </c>
      <c r="F6" s="9" t="n">
        <v>5</v>
      </c>
      <c r="G6" s="9" t="n">
        <v>6</v>
      </c>
      <c r="H6" s="9" t="n">
        <v>7</v>
      </c>
      <c r="I6" s="9" t="n">
        <v>8</v>
      </c>
      <c r="J6" s="9" t="n">
        <v>9</v>
      </c>
      <c r="K6" s="9" t="n">
        <v>10</v>
      </c>
      <c r="L6" s="9" t="n">
        <v>11</v>
      </c>
      <c r="M6" s="9" t="n">
        <v>12</v>
      </c>
    </row>
    <row r="7" customFormat="false" ht="15" hidden="false" customHeight="false" outlineLevel="0" collapsed="false">
      <c r="A7" s="11" t="s">
        <v>125</v>
      </c>
      <c r="B7" s="20" t="n">
        <v>0</v>
      </c>
      <c r="C7" s="20" t="n">
        <f aca="false">B10</f>
        <v>2.5</v>
      </c>
      <c r="D7" s="20" t="n">
        <f aca="false">C10</f>
        <v>4.85</v>
      </c>
      <c r="E7" s="20" t="n">
        <f aca="false">D10</f>
        <v>7.059</v>
      </c>
      <c r="F7" s="20" t="n">
        <f aca="false">E10</f>
        <v>9.13546</v>
      </c>
      <c r="G7" s="20" t="n">
        <f aca="false">F10</f>
        <v>11.0873324</v>
      </c>
      <c r="H7" s="20" t="n">
        <f aca="false">G10</f>
        <v>12.922092456</v>
      </c>
      <c r="I7" s="20" t="n">
        <f aca="false">H10</f>
        <v>14.64676690864</v>
      </c>
      <c r="J7" s="20" t="n">
        <f aca="false">I10</f>
        <v>16.2679608941216</v>
      </c>
      <c r="K7" s="20" t="n">
        <f aca="false">J10</f>
        <v>17.7918832404743</v>
      </c>
      <c r="L7" s="20" t="n">
        <f aca="false">K10</f>
        <v>19.2243702460459</v>
      </c>
      <c r="M7" s="20" t="n">
        <f aca="false">L10</f>
        <v>20.5709080312831</v>
      </c>
    </row>
    <row r="8" customFormat="false" ht="15" hidden="false" customHeight="false" outlineLevel="0" collapsed="false">
      <c r="A8" s="11" t="s">
        <v>126</v>
      </c>
      <c r="B8" s="20" t="n">
        <f aca="false">가정!$E$7</f>
        <v>2.5</v>
      </c>
      <c r="C8" s="20" t="n">
        <f aca="false">가정!$E$7</f>
        <v>2.5</v>
      </c>
      <c r="D8" s="20" t="n">
        <f aca="false">가정!$E$7</f>
        <v>2.5</v>
      </c>
      <c r="E8" s="20" t="n">
        <f aca="false">가정!$E$7</f>
        <v>2.5</v>
      </c>
      <c r="F8" s="20" t="n">
        <f aca="false">가정!$E$7</f>
        <v>2.5</v>
      </c>
      <c r="G8" s="20" t="n">
        <f aca="false">가정!$E$7</f>
        <v>2.5</v>
      </c>
      <c r="H8" s="20" t="n">
        <f aca="false">가정!$E$7</f>
        <v>2.5</v>
      </c>
      <c r="I8" s="20" t="n">
        <f aca="false">가정!$E$7</f>
        <v>2.5</v>
      </c>
      <c r="J8" s="20" t="n">
        <f aca="false">가정!$E$7</f>
        <v>2.5</v>
      </c>
      <c r="K8" s="20" t="n">
        <f aca="false">가정!$E$7</f>
        <v>2.5</v>
      </c>
      <c r="L8" s="20" t="n">
        <f aca="false">가정!$E$7</f>
        <v>2.5</v>
      </c>
      <c r="M8" s="20" t="n">
        <f aca="false">가정!$E$7</f>
        <v>2.5</v>
      </c>
    </row>
    <row r="9" customFormat="false" ht="15" hidden="false" customHeight="false" outlineLevel="0" collapsed="false">
      <c r="A9" s="11" t="s">
        <v>127</v>
      </c>
      <c r="B9" s="20" t="n">
        <f aca="false">B7*가정!$E$8</f>
        <v>0</v>
      </c>
      <c r="C9" s="20" t="n">
        <f aca="false">C7*가정!$E$8</f>
        <v>0.15</v>
      </c>
      <c r="D9" s="20" t="n">
        <f aca="false">D7*가정!$E$8</f>
        <v>0.291</v>
      </c>
      <c r="E9" s="20" t="n">
        <f aca="false">E7*가정!$E$8</f>
        <v>0.42354</v>
      </c>
      <c r="F9" s="20" t="n">
        <f aca="false">F7*가정!$E$8</f>
        <v>0.5481276</v>
      </c>
      <c r="G9" s="20" t="n">
        <f aca="false">G7*가정!$E$8</f>
        <v>0.665239944</v>
      </c>
      <c r="H9" s="20" t="n">
        <f aca="false">H7*가정!$E$8</f>
        <v>0.77532554736</v>
      </c>
      <c r="I9" s="20" t="n">
        <f aca="false">I7*가정!$E$8</f>
        <v>0.8788060145184</v>
      </c>
      <c r="J9" s="20" t="n">
        <f aca="false">J7*가정!$E$8</f>
        <v>0.976077653647296</v>
      </c>
      <c r="K9" s="20" t="n">
        <f aca="false">K7*가정!$E$8</f>
        <v>1.06751299442846</v>
      </c>
      <c r="L9" s="20" t="n">
        <f aca="false">L7*가정!$E$8</f>
        <v>1.15346221476275</v>
      </c>
      <c r="M9" s="20" t="n">
        <f aca="false">M7*가정!$E$8</f>
        <v>1.23425448187699</v>
      </c>
    </row>
    <row r="10" customFormat="false" ht="15" hidden="false" customHeight="false" outlineLevel="0" collapsed="false">
      <c r="A10" s="11" t="s">
        <v>128</v>
      </c>
      <c r="B10" s="20" t="n">
        <f aca="false">B7+B8-B9</f>
        <v>2.5</v>
      </c>
      <c r="C10" s="20" t="n">
        <f aca="false">C7+C8-C9</f>
        <v>4.85</v>
      </c>
      <c r="D10" s="20" t="n">
        <f aca="false">D7+D8-D9</f>
        <v>7.059</v>
      </c>
      <c r="E10" s="20" t="n">
        <f aca="false">E7+E8-E9</f>
        <v>9.13546</v>
      </c>
      <c r="F10" s="20" t="n">
        <f aca="false">F7+F8-F9</f>
        <v>11.0873324</v>
      </c>
      <c r="G10" s="20" t="n">
        <f aca="false">G7+G8-G9</f>
        <v>12.922092456</v>
      </c>
      <c r="H10" s="20" t="n">
        <f aca="false">H7+H8-H9</f>
        <v>14.64676690864</v>
      </c>
      <c r="I10" s="20" t="n">
        <f aca="false">I7+I8-I9</f>
        <v>16.2679608941216</v>
      </c>
      <c r="J10" s="20" t="n">
        <f aca="false">J7+J8-J9</f>
        <v>17.7918832404743</v>
      </c>
      <c r="K10" s="20" t="n">
        <f aca="false">K7+K8-K9</f>
        <v>19.2243702460459</v>
      </c>
      <c r="L10" s="20" t="n">
        <f aca="false">L7+L8-L9</f>
        <v>20.5709080312831</v>
      </c>
      <c r="M10" s="20" t="n">
        <f aca="false">M7+M8-M9</f>
        <v>21.8366535494061</v>
      </c>
    </row>
    <row r="11" customFormat="false" ht="15" hidden="false" customHeight="false" outlineLevel="0" collapsed="false">
      <c r="A11" s="11" t="s">
        <v>129</v>
      </c>
      <c r="B11" s="24" t="n">
        <f aca="false">가정!$E$9*IF(B$6&lt;=가정!$E$10,1-가정!$E$11,1)</f>
        <v>325000</v>
      </c>
      <c r="C11" s="24" t="n">
        <f aca="false">가정!$E$9*IF(C$6&lt;=가정!$E$10,1-가정!$E$11,1)</f>
        <v>325000</v>
      </c>
      <c r="D11" s="24" t="n">
        <f aca="false">가정!$E$9*IF(D$6&lt;=가정!$E$10,1-가정!$E$11,1)</f>
        <v>325000</v>
      </c>
      <c r="E11" s="24" t="n">
        <f aca="false">가정!$E$9*IF(E$6&lt;=가정!$E$10,1-가정!$E$11,1)</f>
        <v>650000</v>
      </c>
      <c r="F11" s="24" t="n">
        <f aca="false">가정!$E$9*IF(F$6&lt;=가정!$E$10,1-가정!$E$11,1)</f>
        <v>650000</v>
      </c>
      <c r="G11" s="24" t="n">
        <f aca="false">가정!$E$9*IF(G$6&lt;=가정!$E$10,1-가정!$E$11,1)</f>
        <v>650000</v>
      </c>
      <c r="H11" s="24" t="n">
        <f aca="false">가정!$E$9*IF(H$6&lt;=가정!$E$10,1-가정!$E$11,1)</f>
        <v>650000</v>
      </c>
      <c r="I11" s="24" t="n">
        <f aca="false">가정!$E$9*IF(I$6&lt;=가정!$E$10,1-가정!$E$11,1)</f>
        <v>650000</v>
      </c>
      <c r="J11" s="24" t="n">
        <f aca="false">가정!$E$9*IF(J$6&lt;=가정!$E$10,1-가정!$E$11,1)</f>
        <v>650000</v>
      </c>
      <c r="K11" s="24" t="n">
        <f aca="false">가정!$E$9*IF(K$6&lt;=가정!$E$10,1-가정!$E$11,1)</f>
        <v>650000</v>
      </c>
      <c r="L11" s="24" t="n">
        <f aca="false">가정!$E$9*IF(L$6&lt;=가정!$E$10,1-가정!$E$11,1)</f>
        <v>650000</v>
      </c>
      <c r="M11" s="24" t="n">
        <f aca="false">가정!$E$9*IF(M$6&lt;=가정!$E$10,1-가정!$E$11,1)</f>
        <v>650000</v>
      </c>
    </row>
    <row r="12" customFormat="false" ht="15" hidden="false" customHeight="false" outlineLevel="0" collapsed="false">
      <c r="A12" s="14" t="s">
        <v>130</v>
      </c>
      <c r="B12" s="29" t="n">
        <f aca="false">B10*B11</f>
        <v>812500</v>
      </c>
      <c r="C12" s="29" t="n">
        <f aca="false">C10*C11</f>
        <v>1576250</v>
      </c>
      <c r="D12" s="29" t="n">
        <f aca="false">D10*D11</f>
        <v>2294175</v>
      </c>
      <c r="E12" s="29" t="n">
        <f aca="false">E10*E11</f>
        <v>5938049</v>
      </c>
      <c r="F12" s="29" t="n">
        <f aca="false">F10*F11</f>
        <v>7206766.06</v>
      </c>
      <c r="G12" s="29" t="n">
        <f aca="false">G10*G11</f>
        <v>8399360.0964</v>
      </c>
      <c r="H12" s="29" t="n">
        <f aca="false">H10*H11</f>
        <v>9520398.490616</v>
      </c>
      <c r="I12" s="29" t="n">
        <f aca="false">I10*I11</f>
        <v>10574174.581179</v>
      </c>
      <c r="J12" s="29" t="n">
        <f aca="false">J10*J11</f>
        <v>11564724.1063083</v>
      </c>
      <c r="K12" s="29" t="n">
        <f aca="false">K10*K11</f>
        <v>12495840.6599298</v>
      </c>
      <c r="L12" s="29" t="n">
        <f aca="false">L10*L11</f>
        <v>13371090.220334</v>
      </c>
      <c r="M12" s="29" t="n">
        <f aca="false">M10*M11</f>
        <v>14193824.807114</v>
      </c>
    </row>
    <row r="13" customFormat="false" ht="15" hidden="false" customHeight="false" outlineLevel="0" collapsed="false">
      <c r="A13" s="11" t="s">
        <v>131</v>
      </c>
      <c r="B13" s="24" t="n">
        <f aca="false">B10*가정!$E$12</f>
        <v>250000</v>
      </c>
      <c r="C13" s="24" t="n">
        <f aca="false">C10*가정!$E$12</f>
        <v>485000</v>
      </c>
      <c r="D13" s="24" t="n">
        <f aca="false">D10*가정!$E$12</f>
        <v>705900</v>
      </c>
      <c r="E13" s="24" t="n">
        <f aca="false">E10*가정!$E$12</f>
        <v>913546</v>
      </c>
      <c r="F13" s="24" t="n">
        <f aca="false">F10*가정!$E$12</f>
        <v>1108733.24</v>
      </c>
      <c r="G13" s="24" t="n">
        <f aca="false">G10*가정!$E$12</f>
        <v>1292209.2456</v>
      </c>
      <c r="H13" s="24" t="n">
        <f aca="false">H10*가정!$E$12</f>
        <v>1464676.690864</v>
      </c>
      <c r="I13" s="24" t="n">
        <f aca="false">I10*가정!$E$12</f>
        <v>1626796.08941216</v>
      </c>
      <c r="J13" s="24" t="n">
        <f aca="false">J10*가정!$E$12</f>
        <v>1779188.32404743</v>
      </c>
      <c r="K13" s="24" t="n">
        <f aca="false">K10*가정!$E$12</f>
        <v>1922437.02460459</v>
      </c>
      <c r="L13" s="24" t="n">
        <f aca="false">L10*가정!$E$12</f>
        <v>2057090.80312831</v>
      </c>
      <c r="M13" s="24" t="n">
        <f aca="false">M10*가정!$E$12</f>
        <v>2183665.35494061</v>
      </c>
    </row>
    <row r="14" customFormat="false" ht="15" hidden="false" customHeight="false" outlineLevel="0" collapsed="false">
      <c r="A14" s="11" t="s">
        <v>132</v>
      </c>
      <c r="B14" s="24" t="n">
        <f aca="false">가정!$E$13</f>
        <v>300000</v>
      </c>
      <c r="C14" s="24" t="n">
        <f aca="false">가정!$E$13</f>
        <v>300000</v>
      </c>
      <c r="D14" s="24" t="n">
        <f aca="false">가정!$E$13</f>
        <v>300000</v>
      </c>
      <c r="E14" s="24" t="n">
        <f aca="false">가정!$E$13</f>
        <v>300000</v>
      </c>
      <c r="F14" s="24" t="n">
        <f aca="false">가정!$E$13</f>
        <v>300000</v>
      </c>
      <c r="G14" s="24" t="n">
        <f aca="false">가정!$E$13</f>
        <v>300000</v>
      </c>
      <c r="H14" s="24" t="n">
        <f aca="false">가정!$E$13</f>
        <v>300000</v>
      </c>
      <c r="I14" s="24" t="n">
        <f aca="false">가정!$E$13</f>
        <v>300000</v>
      </c>
      <c r="J14" s="24" t="n">
        <f aca="false">가정!$E$13</f>
        <v>300000</v>
      </c>
      <c r="K14" s="24" t="n">
        <f aca="false">가정!$E$13</f>
        <v>300000</v>
      </c>
      <c r="L14" s="24" t="n">
        <f aca="false">가정!$E$13</f>
        <v>300000</v>
      </c>
      <c r="M14" s="24" t="n">
        <f aca="false">가정!$E$13</f>
        <v>300000</v>
      </c>
    </row>
    <row r="15" customFormat="false" ht="15" hidden="false" customHeight="false" outlineLevel="0" collapsed="false">
      <c r="A15" s="11" t="s">
        <v>133</v>
      </c>
      <c r="B15" s="24" t="n">
        <f aca="false">가정!$E$14</f>
        <v>200000</v>
      </c>
      <c r="C15" s="24" t="n">
        <f aca="false">가정!$E$14</f>
        <v>200000</v>
      </c>
      <c r="D15" s="24" t="n">
        <f aca="false">가정!$E$14</f>
        <v>200000</v>
      </c>
      <c r="E15" s="24" t="n">
        <f aca="false">가정!$E$14</f>
        <v>200000</v>
      </c>
      <c r="F15" s="24" t="n">
        <f aca="false">가정!$E$14</f>
        <v>200000</v>
      </c>
      <c r="G15" s="24" t="n">
        <f aca="false">가정!$E$14</f>
        <v>200000</v>
      </c>
      <c r="H15" s="24" t="n">
        <f aca="false">가정!$E$14</f>
        <v>200000</v>
      </c>
      <c r="I15" s="24" t="n">
        <f aca="false">가정!$E$14</f>
        <v>200000</v>
      </c>
      <c r="J15" s="24" t="n">
        <f aca="false">가정!$E$14</f>
        <v>200000</v>
      </c>
      <c r="K15" s="24" t="n">
        <f aca="false">가정!$E$14</f>
        <v>200000</v>
      </c>
      <c r="L15" s="24" t="n">
        <f aca="false">가정!$E$14</f>
        <v>200000</v>
      </c>
      <c r="M15" s="24" t="n">
        <f aca="false">가정!$E$14</f>
        <v>200000</v>
      </c>
    </row>
    <row r="16" customFormat="false" ht="15" hidden="false" customHeight="false" outlineLevel="0" collapsed="false">
      <c r="A16" s="11" t="s">
        <v>134</v>
      </c>
      <c r="B16" s="24" t="n">
        <f aca="false">IF(B$6&gt;=가정!$E$15,가정!$E$16,0)</f>
        <v>0</v>
      </c>
      <c r="C16" s="24" t="n">
        <f aca="false">IF(C$6&gt;=가정!$E$15,가정!$E$16,0)</f>
        <v>0</v>
      </c>
      <c r="D16" s="24" t="n">
        <f aca="false">IF(D$6&gt;=가정!$E$15,가정!$E$16,0)</f>
        <v>0</v>
      </c>
      <c r="E16" s="24" t="n">
        <f aca="false">IF(E$6&gt;=가정!$E$15,가정!$E$16,0)</f>
        <v>0</v>
      </c>
      <c r="F16" s="24" t="n">
        <f aca="false">IF(F$6&gt;=가정!$E$15,가정!$E$16,0)</f>
        <v>0</v>
      </c>
      <c r="G16" s="24" t="n">
        <f aca="false">IF(G$6&gt;=가정!$E$15,가정!$E$16,0)</f>
        <v>0</v>
      </c>
      <c r="H16" s="24" t="n">
        <f aca="false">IF(H$6&gt;=가정!$E$15,가정!$E$16,0)</f>
        <v>2800000</v>
      </c>
      <c r="I16" s="24" t="n">
        <f aca="false">IF(I$6&gt;=가정!$E$15,가정!$E$16,0)</f>
        <v>2800000</v>
      </c>
      <c r="J16" s="24" t="n">
        <f aca="false">IF(J$6&gt;=가정!$E$15,가정!$E$16,0)</f>
        <v>2800000</v>
      </c>
      <c r="K16" s="24" t="n">
        <f aca="false">IF(K$6&gt;=가정!$E$15,가정!$E$16,0)</f>
        <v>2800000</v>
      </c>
      <c r="L16" s="24" t="n">
        <f aca="false">IF(L$6&gt;=가정!$E$15,가정!$E$16,0)</f>
        <v>2800000</v>
      </c>
      <c r="M16" s="24" t="n">
        <f aca="false">IF(M$6&gt;=가정!$E$15,가정!$E$16,0)</f>
        <v>2800000</v>
      </c>
    </row>
    <row r="17" customFormat="false" ht="15" hidden="false" customHeight="false" outlineLevel="0" collapsed="false">
      <c r="A17" s="11" t="s">
        <v>135</v>
      </c>
      <c r="B17" s="24" t="n">
        <f aca="false">SUM(B13:B16)</f>
        <v>750000</v>
      </c>
      <c r="C17" s="24" t="n">
        <f aca="false">SUM(C13:C16)</f>
        <v>985000</v>
      </c>
      <c r="D17" s="24" t="n">
        <f aca="false">SUM(D13:D16)</f>
        <v>1205900</v>
      </c>
      <c r="E17" s="24" t="n">
        <f aca="false">SUM(E13:E16)</f>
        <v>1413546</v>
      </c>
      <c r="F17" s="24" t="n">
        <f aca="false">SUM(F13:F16)</f>
        <v>1608733.24</v>
      </c>
      <c r="G17" s="24" t="n">
        <f aca="false">SUM(G13:G16)</f>
        <v>1792209.2456</v>
      </c>
      <c r="H17" s="24" t="n">
        <f aca="false">SUM(H13:H16)</f>
        <v>4764676.690864</v>
      </c>
      <c r="I17" s="24" t="n">
        <f aca="false">SUM(I13:I16)</f>
        <v>4926796.08941216</v>
      </c>
      <c r="J17" s="24" t="n">
        <f aca="false">SUM(J13:J16)</f>
        <v>5079188.32404743</v>
      </c>
      <c r="K17" s="24" t="n">
        <f aca="false">SUM(K13:K16)</f>
        <v>5222437.02460459</v>
      </c>
      <c r="L17" s="24" t="n">
        <f aca="false">SUM(L13:L16)</f>
        <v>5357090.80312831</v>
      </c>
      <c r="M17" s="24" t="n">
        <f aca="false">SUM(M13:M16)</f>
        <v>5483665.35494061</v>
      </c>
    </row>
    <row r="18" customFormat="false" ht="15" hidden="false" customHeight="false" outlineLevel="0" collapsed="false">
      <c r="A18" s="14" t="s">
        <v>136</v>
      </c>
      <c r="B18" s="30" t="n">
        <f aca="false">B12-B17</f>
        <v>62500</v>
      </c>
      <c r="C18" s="30" t="n">
        <f aca="false">C12-C17</f>
        <v>591250</v>
      </c>
      <c r="D18" s="30" t="n">
        <f aca="false">D12-D17</f>
        <v>1088275</v>
      </c>
      <c r="E18" s="30" t="n">
        <f aca="false">E12-E17</f>
        <v>4524503</v>
      </c>
      <c r="F18" s="30" t="n">
        <f aca="false">F12-F17</f>
        <v>5598032.82</v>
      </c>
      <c r="G18" s="30" t="n">
        <f aca="false">G12-G17</f>
        <v>6607150.8508</v>
      </c>
      <c r="H18" s="30" t="n">
        <f aca="false">H12-H17</f>
        <v>4755721.799752</v>
      </c>
      <c r="I18" s="30" t="n">
        <f aca="false">I12-I17</f>
        <v>5647378.49176688</v>
      </c>
      <c r="J18" s="30" t="n">
        <f aca="false">J12-J17</f>
        <v>6485535.78226087</v>
      </c>
      <c r="K18" s="30" t="n">
        <f aca="false">K12-K17</f>
        <v>7273403.63532522</v>
      </c>
      <c r="L18" s="30" t="n">
        <f aca="false">L12-L17</f>
        <v>8013999.41720571</v>
      </c>
      <c r="M18" s="30" t="n">
        <f aca="false">M12-M17</f>
        <v>8710159.45217336</v>
      </c>
    </row>
    <row r="19" customFormat="false" ht="15" hidden="false" customHeight="false" outlineLevel="0" collapsed="false">
      <c r="A19" s="14" t="s">
        <v>137</v>
      </c>
      <c r="B19" s="30" t="n">
        <f aca="false">-가정!$E$17+B18</f>
        <v>-1937500</v>
      </c>
      <c r="C19" s="30" t="n">
        <f aca="false">B19+C18</f>
        <v>-1346250</v>
      </c>
      <c r="D19" s="30" t="n">
        <f aca="false">C19+D18</f>
        <v>-257975</v>
      </c>
      <c r="E19" s="30" t="n">
        <f aca="false">D19+E18</f>
        <v>4266528</v>
      </c>
      <c r="F19" s="30" t="n">
        <f aca="false">E19+F18</f>
        <v>9864560.82</v>
      </c>
      <c r="G19" s="30" t="n">
        <f aca="false">F19+G18</f>
        <v>16471711.6708</v>
      </c>
      <c r="H19" s="30" t="n">
        <f aca="false">G19+H18</f>
        <v>21227433.470552</v>
      </c>
      <c r="I19" s="30" t="n">
        <f aca="false">H19+I18</f>
        <v>26874811.9623189</v>
      </c>
      <c r="J19" s="30" t="n">
        <f aca="false">I19+J18</f>
        <v>33360347.7445798</v>
      </c>
      <c r="K19" s="30" t="n">
        <f aca="false">J19+K18</f>
        <v>40633751.379905</v>
      </c>
      <c r="L19" s="30" t="n">
        <f aca="false">K19+L18</f>
        <v>48647750.7971107</v>
      </c>
      <c r="M19" s="30" t="n">
        <f aca="false">L19+M18</f>
        <v>57357910.249284</v>
      </c>
    </row>
    <row r="21" customFormat="false" ht="15" hidden="false" customHeight="false" outlineLevel="0" collapsed="false">
      <c r="A21" s="9" t="s">
        <v>138</v>
      </c>
      <c r="B21" s="29" t="n">
        <f aca="false">SUM(B12:M12)</f>
        <v>97947153.0218811</v>
      </c>
    </row>
    <row r="22" customFormat="false" ht="15" hidden="false" customHeight="false" outlineLevel="0" collapsed="false">
      <c r="A22" s="9" t="s">
        <v>139</v>
      </c>
      <c r="B22" s="30" t="n">
        <f aca="false">SUM(B18:M18)</f>
        <v>59357910.249284</v>
      </c>
    </row>
    <row r="23" customFormat="false" ht="15" hidden="false" customHeight="false" outlineLevel="0" collapsed="false">
      <c r="A23" s="9" t="s">
        <v>140</v>
      </c>
      <c r="B23" s="24" t="n">
        <f aca="false">M12</f>
        <v>14193824.807114</v>
      </c>
      <c r="C23" s="31" t="n">
        <f aca="false">M18</f>
        <v>8710159.45217336</v>
      </c>
    </row>
    <row r="24" customFormat="false" ht="15" hidden="false" customHeight="false" outlineLevel="0" collapsed="false">
      <c r="A24" s="9" t="s">
        <v>141</v>
      </c>
      <c r="B24" s="16" t="n">
        <f aca="false">IFERROR(M18/M12,0)</f>
        <v>0.613658374014016</v>
      </c>
    </row>
    <row r="25" customFormat="false" ht="15" hidden="false" customHeight="false" outlineLevel="0" collapsed="false">
      <c r="A25" s="14" t="s">
        <v>142</v>
      </c>
      <c r="B25" s="9" t="str">
        <f aca="false">IFERROR(INDEX($B$6:$M$6,1,MATCH(TRUE(),INDEX($B$19:$M$19&gt;=0,0),0))&amp;"개월","12개월 안에 회수 못 함")</f>
        <v>4개월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9.4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15" hidden="false" customHeight="false" outlineLevel="0" collapsed="false">
      <c r="A4" s="4" t="s">
        <v>3</v>
      </c>
      <c r="B4" s="4" t="s">
        <v>80</v>
      </c>
      <c r="C4" s="4" t="s">
        <v>81</v>
      </c>
      <c r="D4" s="4" t="s">
        <v>82</v>
      </c>
    </row>
    <row r="5" customFormat="false" ht="15" hidden="false" customHeight="false" outlineLevel="0" collapsed="false">
      <c r="A5" s="5" t="s">
        <v>145</v>
      </c>
      <c r="B5" s="20" t="n">
        <f aca="false">가정!B7*(1-(1-가정!B8)^12)/가정!B8</f>
        <v>7.17570463519</v>
      </c>
      <c r="C5" s="20" t="n">
        <f aca="false">가정!C7*(1-(1-가정!C8)^12)/가정!C8</f>
        <v>21.8366535494061</v>
      </c>
      <c r="D5" s="20" t="n">
        <f aca="false">가정!D7*(1-(1-가정!D8)^12)/가정!D8</f>
        <v>38.7290242670233</v>
      </c>
    </row>
    <row r="6" customFormat="false" ht="15" hidden="false" customHeight="false" outlineLevel="0" collapsed="false">
      <c r="A6" s="5" t="s">
        <v>146</v>
      </c>
      <c r="B6" s="24" t="n">
        <f aca="false">B5*가정!B9</f>
        <v>3229067.0858355</v>
      </c>
      <c r="C6" s="24" t="n">
        <f aca="false">C5*가정!C9</f>
        <v>14193824.807114</v>
      </c>
      <c r="D6" s="24" t="n">
        <f aca="false">D5*가정!D9</f>
        <v>30983219.4136186</v>
      </c>
    </row>
    <row r="7" customFormat="false" ht="15" hidden="false" customHeight="false" outlineLevel="0" collapsed="false">
      <c r="A7" s="5" t="s">
        <v>147</v>
      </c>
      <c r="B7" s="24" t="n">
        <f aca="false">B5*가정!B12+가정!B13+가정!B14+가정!B16</f>
        <v>3961084.5562228</v>
      </c>
      <c r="C7" s="24" t="n">
        <f aca="false">C5*가정!C12+가정!C13+가정!C14+가정!C16</f>
        <v>5483665.35494061</v>
      </c>
      <c r="D7" s="24" t="n">
        <f aca="false">D5*가정!D12+가정!D13+가정!D14+가정!D16</f>
        <v>6985612.1840321</v>
      </c>
    </row>
    <row r="8" customFormat="false" ht="15" hidden="false" customHeight="false" outlineLevel="0" collapsed="false">
      <c r="A8" s="9" t="s">
        <v>148</v>
      </c>
      <c r="B8" s="31" t="n">
        <f aca="false">B6-B7</f>
        <v>-732017.4703873</v>
      </c>
      <c r="C8" s="31" t="n">
        <f aca="false">C6-C7</f>
        <v>8710159.45217337</v>
      </c>
      <c r="D8" s="31" t="n">
        <f aca="false">D6-D7</f>
        <v>23997607.2295865</v>
      </c>
    </row>
    <row r="9" customFormat="false" ht="15" hidden="false" customHeight="false" outlineLevel="0" collapsed="false">
      <c r="A9" s="5" t="s">
        <v>149</v>
      </c>
      <c r="B9" s="16" t="n">
        <f aca="false">IFERROR(B8/B6,0)</f>
        <v>-0.226696271997054</v>
      </c>
      <c r="C9" s="16" t="n">
        <f aca="false">IFERROR(C8/C6,0)</f>
        <v>0.613658374014016</v>
      </c>
      <c r="D9" s="16" t="n">
        <f aca="false">IFERROR(D8/D6,0)</f>
        <v>0.774535625534073</v>
      </c>
    </row>
    <row r="11" customFormat="false" ht="15" hidden="false" customHeight="false" outlineLevel="0" collapsed="false">
      <c r="A11" s="32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48"/>
  </cols>
  <sheetData>
    <row r="1" customFormat="false" ht="19.4" hidden="false" customHeight="false" outlineLevel="0" collapsed="false">
      <c r="A1" s="18" t="s">
        <v>151</v>
      </c>
    </row>
    <row r="2" customFormat="false" ht="15" hidden="false" customHeight="false" outlineLevel="0" collapsed="false">
      <c r="A2" s="2" t="s">
        <v>152</v>
      </c>
    </row>
    <row r="4" customFormat="false" ht="15" hidden="false" customHeight="false" outlineLevel="0" collapsed="false">
      <c r="A4" s="4" t="s">
        <v>3</v>
      </c>
      <c r="B4" s="4" t="s">
        <v>153</v>
      </c>
      <c r="C4" s="4" t="s">
        <v>154</v>
      </c>
      <c r="D4" s="4" t="s">
        <v>155</v>
      </c>
    </row>
    <row r="5" customFormat="false" ht="15" hidden="false" customHeight="false" outlineLevel="0" collapsed="false">
      <c r="A5" s="11" t="s">
        <v>156</v>
      </c>
      <c r="B5" s="33" t="s">
        <v>157</v>
      </c>
      <c r="C5" s="33" t="s">
        <v>157</v>
      </c>
      <c r="D5" s="6" t="s">
        <v>158</v>
      </c>
    </row>
    <row r="6" customFormat="false" ht="15" hidden="false" customHeight="false" outlineLevel="0" collapsed="false">
      <c r="A6" s="11" t="s">
        <v>159</v>
      </c>
      <c r="B6" s="23" t="n">
        <v>700000</v>
      </c>
      <c r="C6" s="23" t="n">
        <v>700000</v>
      </c>
      <c r="D6" s="8" t="s">
        <v>160</v>
      </c>
    </row>
    <row r="7" customFormat="false" ht="15" hidden="false" customHeight="false" outlineLevel="0" collapsed="false">
      <c r="A7" s="11" t="s">
        <v>93</v>
      </c>
      <c r="B7" s="16" t="n">
        <f aca="false">가정!$E$11</f>
        <v>0.5</v>
      </c>
      <c r="C7" s="16" t="n">
        <f aca="false">가정!$E$11</f>
        <v>0.5</v>
      </c>
      <c r="D7" s="6" t="s">
        <v>161</v>
      </c>
    </row>
    <row r="8" customFormat="false" ht="15" hidden="false" customHeight="false" outlineLevel="0" collapsed="false">
      <c r="A8" s="11" t="s">
        <v>162</v>
      </c>
      <c r="B8" s="24" t="n">
        <f aca="false">B6*(1-B7)</f>
        <v>350000</v>
      </c>
      <c r="C8" s="24" t="n">
        <f aca="false">C6*(1-C7)</f>
        <v>350000</v>
      </c>
      <c r="D8" s="8"/>
    </row>
    <row r="9" customFormat="false" ht="15" hidden="false" customHeight="false" outlineLevel="0" collapsed="false">
      <c r="A9" s="11" t="s">
        <v>163</v>
      </c>
      <c r="B9" s="24" t="n">
        <f aca="false">B8*가정!$E$18</f>
        <v>6475000</v>
      </c>
      <c r="C9" s="24" t="n">
        <f aca="false">C8*가정!$E$18</f>
        <v>6475000</v>
      </c>
      <c r="D9" s="6" t="s">
        <v>164</v>
      </c>
    </row>
    <row r="10" customFormat="false" ht="15" hidden="false" customHeight="false" outlineLevel="0" collapsed="false">
      <c r="A10" s="11" t="s">
        <v>165</v>
      </c>
      <c r="B10" s="25" t="n">
        <v>8</v>
      </c>
      <c r="C10" s="25" t="n">
        <v>8</v>
      </c>
      <c r="D10" s="6" t="s">
        <v>166</v>
      </c>
    </row>
    <row r="11" customFormat="false" ht="15" hidden="false" customHeight="false" outlineLevel="0" collapsed="false">
      <c r="A11" s="11" t="s">
        <v>167</v>
      </c>
      <c r="B11" s="23" t="n">
        <v>25000</v>
      </c>
      <c r="C11" s="23" t="n">
        <v>25000</v>
      </c>
      <c r="D11" s="6" t="s">
        <v>168</v>
      </c>
    </row>
    <row r="12" customFormat="false" ht="15" hidden="false" customHeight="false" outlineLevel="0" collapsed="false">
      <c r="A12" s="11" t="s">
        <v>169</v>
      </c>
      <c r="B12" s="24" t="n">
        <f aca="false">B10*B11+가정!$E$12</f>
        <v>300000</v>
      </c>
      <c r="C12" s="24" t="n">
        <f aca="false">C10*C11+가정!$E$12</f>
        <v>300000</v>
      </c>
      <c r="D12" s="6" t="s">
        <v>170</v>
      </c>
    </row>
    <row r="13" customFormat="false" ht="15" hidden="false" customHeight="false" outlineLevel="0" collapsed="false">
      <c r="A13" s="11" t="s">
        <v>171</v>
      </c>
      <c r="B13" s="31" t="n">
        <f aca="false">B8-B12</f>
        <v>50000</v>
      </c>
      <c r="C13" s="31" t="n">
        <f aca="false">C8-C12</f>
        <v>50000</v>
      </c>
      <c r="D13" s="8"/>
    </row>
    <row r="14" customFormat="false" ht="15" hidden="false" customHeight="false" outlineLevel="0" collapsed="false">
      <c r="A14" s="11" t="s">
        <v>172</v>
      </c>
      <c r="B14" s="31" t="n">
        <f aca="false">B6-B12</f>
        <v>400000</v>
      </c>
      <c r="C14" s="31" t="n">
        <f aca="false">C6-C12</f>
        <v>400000</v>
      </c>
      <c r="D14" s="6" t="s">
        <v>173</v>
      </c>
    </row>
    <row r="15" customFormat="false" ht="15" hidden="false" customHeight="false" outlineLevel="0" collapsed="false">
      <c r="A15" s="11" t="s">
        <v>174</v>
      </c>
      <c r="B15" s="16" t="n">
        <f aca="false">IFERROR(B14/B6,0)</f>
        <v>0.571428571428571</v>
      </c>
      <c r="C15" s="16" t="n">
        <f aca="false">IFERROR(C14/C6,0)</f>
        <v>0.571428571428571</v>
      </c>
      <c r="D15" s="8"/>
    </row>
    <row r="16" customFormat="false" ht="15" hidden="false" customHeight="false" outlineLevel="0" collapsed="false">
      <c r="A16" s="5" t="s">
        <v>175</v>
      </c>
      <c r="B16" s="23" t="n">
        <v>1500000</v>
      </c>
      <c r="C16" s="23" t="n">
        <v>1500000</v>
      </c>
      <c r="D16" s="6" t="s">
        <v>176</v>
      </c>
    </row>
    <row r="18" customFormat="false" ht="15" hidden="false" customHeight="false" outlineLevel="0" collapsed="false">
      <c r="A18" s="14" t="s">
        <v>177</v>
      </c>
    </row>
    <row r="19" customFormat="false" ht="15" hidden="false" customHeight="false" outlineLevel="0" collapsed="false">
      <c r="A19" s="34" t="s">
        <v>178</v>
      </c>
    </row>
    <row r="20" customFormat="false" ht="15" hidden="false" customHeight="false" outlineLevel="0" collapsed="false">
      <c r="A20" s="34" t="s">
        <v>179</v>
      </c>
    </row>
    <row r="21" customFormat="false" ht="15" hidden="false" customHeight="false" outlineLevel="0" collapsed="false">
      <c r="A21" s="34" t="s">
        <v>180</v>
      </c>
    </row>
    <row r="22" customFormat="false" ht="15" hidden="false" customHeight="false" outlineLevel="0" collapsed="false">
      <c r="A22" s="34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2026-10-18T13:31:08Z</dcterms:created>
  <dc:creator>openpyxl</dc:creator>
  <dc:description/>
  <dc:language>en-US</dc:language>
  <cp:lastModifiedBy/>
  <dcterms:modified xsi:type="dcterms:W3CDTF">2026-10-18T13:31:16Z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